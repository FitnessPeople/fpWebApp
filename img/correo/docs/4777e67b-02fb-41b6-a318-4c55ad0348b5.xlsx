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esktop\"/>
    </mc:Choice>
  </mc:AlternateContent>
  <xr:revisionPtr revIDLastSave="0" documentId="13_ncr:9_{A073AB8C-ECFA-455F-8323-833E730849C6}" xr6:coauthVersionLast="47" xr6:coauthVersionMax="47" xr10:uidLastSave="{00000000-0000-0000-0000-000000000000}"/>
  <bookViews>
    <workbookView xWindow="-120" yWindow="-120" windowWidth="29040" windowHeight="15840" activeTab="2" xr2:uid="{723FE301-C047-4BF9-AD0E-000476222202}"/>
  </bookViews>
  <sheets>
    <sheet name="BD_Clez_Premigracion" sheetId="1" r:id="rId1"/>
    <sheet name="MigradosEfectivamente" sheetId="3" r:id="rId2"/>
    <sheet name="AfiliadosRecurrentesNuevos" sheetId="5" r:id="rId3"/>
  </sheets>
  <definedNames>
    <definedName name="_xlnm._FilterDatabase" localSheetId="0" hidden="1">BD_Clez_Premigracion!$A$1:$AC$421</definedName>
    <definedName name="DatosExternos_1" localSheetId="2" hidden="1">AfiliadosRecurrentesNuevos!$A$1:$AA$79</definedName>
    <definedName name="DatosExternos_1" localSheetId="1" hidden="1">MigradosEfectivamente!$A$1:$Z$225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" i="1" l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2" i="1"/>
  <c r="AA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D9BEC0-4AF3-46AE-B818-21FF734C87B8}" keepAlive="1" name="Consulta - AfiliadosRecurrentes" description="Conexión a la consulta 'AfiliadosRecurrentes' en el libro." type="5" refreshedVersion="8" background="1" saveData="1">
    <dbPr connection="Provider=Microsoft.Mashup.OleDb.1;Data Source=$Workbook$;Location=AfiliadosRecurrentes;Extended Properties=&quot;&quot;" command="SELECT * FROM [AfiliadosRecurrentes]"/>
  </connection>
  <connection id="2" xr16:uid="{59608DFF-568A-44DC-BED8-829492AA0A0F}" keepAlive="1" name="Consulta - AfiliadosRecurrentesAWS" description="Conexión a la consulta 'AfiliadosRecurrentesAWS' en el libro." type="5" refreshedVersion="0" background="1">
    <dbPr connection="Provider=Microsoft.Mashup.OleDb.1;Data Source=$Workbook$;Location=AfiliadosRecurrentesAWS;Extended Properties=&quot;&quot;" command="SELECT * FROM [AfiliadosRecurrentesAWS]"/>
  </connection>
  <connection id="3" xr16:uid="{D1BD79AB-17A8-4F41-8DCD-CC38A9E80771}" keepAlive="1" name="Consulta - AfiliadosRecurrentesNuevos" description="Conexión a la consulta 'AfiliadosRecurrentesNuevos' en el libro." type="5" refreshedVersion="8" background="1" saveData="1">
    <dbPr connection="Provider=Microsoft.Mashup.OleDb.1;Data Source=$Workbook$;Location=AfiliadosRecurrentesNuevos;Extended Properties=&quot;&quot;" command="SELECT * FROM [AfiliadosRecurrentesNuevos]"/>
  </connection>
</connections>
</file>

<file path=xl/sharedStrings.xml><?xml version="1.0" encoding="utf-8"?>
<sst xmlns="http://schemas.openxmlformats.org/spreadsheetml/2006/main" count="12373" uniqueCount="2410">
  <si>
    <t># de documento</t>
  </si>
  <si>
    <t>Afiliado</t>
  </si>
  <si>
    <t>Cedula</t>
  </si>
  <si>
    <t>DirecciÃ³n</t>
  </si>
  <si>
    <t>Telefono</t>
  </si>
  <si>
    <t>Email</t>
  </si>
  <si>
    <t>Valor</t>
  </si>
  <si>
    <t>Sucursal</t>
  </si>
  <si>
    <t>Plan / Producto</t>
  </si>
  <si>
    <t>Canal</t>
  </si>
  <si>
    <t>Fuente</t>
  </si>
  <si>
    <t>Medio</t>
  </si>
  <si>
    <t>CampaÃ±a</t>
  </si>
  <si>
    <t>Estado</t>
  </si>
  <si>
    <t>Forma de Pago</t>
  </si>
  <si>
    <t>Fecha</t>
  </si>
  <si>
    <t>Cedula usuario que registro</t>
  </si>
  <si>
    <t>Usuario que registro</t>
  </si>
  <si>
    <t>Entrenador</t>
  </si>
  <si>
    <t>Usuario que suplanta</t>
  </si>
  <si>
    <t>Tipo</t>
  </si>
  <si>
    <t>Motivo</t>
  </si>
  <si>
    <t>Observaciones Documento</t>
  </si>
  <si>
    <t>Â¿Tuvo cortesia?</t>
  </si>
  <si>
    <t>GestiÃ³n CRM</t>
  </si>
  <si>
    <t>Tipo Afiliado</t>
  </si>
  <si>
    <t>FacturaciÃ³n electronica</t>
  </si>
  <si>
    <t>Firmada</t>
  </si>
  <si>
    <t>FPF-33558</t>
  </si>
  <si>
    <t>LAURIN VANESSA MONTAÂ¥O SANTIAGO</t>
  </si>
  <si>
    <t>cra 19 17 - 65</t>
  </si>
  <si>
    <t>laurinsvanesa31@gmail.com</t>
  </si>
  <si>
    <t>Boulevard</t>
  </si>
  <si>
    <t>PLAN DEBITO AUTOMÃ¡TICO POR 89.000 (PERMANENCIA 12 MESES)</t>
  </si>
  <si>
    <t>On Line</t>
  </si>
  <si>
    <t>Activo</t>
  </si>
  <si>
    <t>PAGOS ON LINE / CLEZ PAY-89000.00</t>
  </si>
  <si>
    <t>CLEZ</t>
  </si>
  <si>
    <t xml:space="preserve">Factura de Venta </t>
  </si>
  <si>
    <t>Facturado automaticamente por CLEZ PAY Facturado automaticamente por CLEZ PAY</t>
  </si>
  <si>
    <t>No</t>
  </si>
  <si>
    <t>Si</t>
  </si>
  <si>
    <t>Renovado</t>
  </si>
  <si>
    <t>No enviada</t>
  </si>
  <si>
    <t>FP-34356</t>
  </si>
  <si>
    <t>JUAN FERNANDO ARAUJO LAZCANO</t>
  </si>
  <si>
    <t>PROVENZA</t>
  </si>
  <si>
    <t>jaraujolazcano@gmail.com</t>
  </si>
  <si>
    <t>Provenza</t>
  </si>
  <si>
    <t>Enviada</t>
  </si>
  <si>
    <t>FC-65942</t>
  </si>
  <si>
    <t>VALENTINA SAVEDRA HOYOS</t>
  </si>
  <si>
    <t>Calle 64#2w76 Mutis</t>
  </si>
  <si>
    <t>valentinahoyos77@gmail.com</t>
  </si>
  <si>
    <t>Ciudadela</t>
  </si>
  <si>
    <t>FPP-26926</t>
  </si>
  <si>
    <t>ASURY ALEJANDRA RENOGA RENOGA</t>
  </si>
  <si>
    <t>PIEDECUESTA</t>
  </si>
  <si>
    <t>pa318344@gmail.com</t>
  </si>
  <si>
    <t>Piedecuesta</t>
  </si>
  <si>
    <t>Facturado automaticamente por CLEZ PAY (Cron cobro suscripcion) Facturado automaticamente por CLEZ PAY (Cron cobro suscripcion)</t>
  </si>
  <si>
    <t>FP-34329</t>
  </si>
  <si>
    <t>LILIAM MAYERLIS CABRERA ARAUJO</t>
  </si>
  <si>
    <t>57 301 4934088</t>
  </si>
  <si>
    <t>Cabreraaraujo2003@gmail.com</t>
  </si>
  <si>
    <t>CE-12471</t>
  </si>
  <si>
    <t>ALEJANDRA RAMÃREZ</t>
  </si>
  <si>
    <t>Calle 11 an 11 ae 68 conjunto torres del centenario, torre Santander apto 802</t>
  </si>
  <si>
    <t>ramirezalejandra56@gmail.com</t>
  </si>
  <si>
    <t>Ceiba</t>
  </si>
  <si>
    <t>Nuevo</t>
  </si>
  <si>
    <t>FP-34313</t>
  </si>
  <si>
    <t>ZORELISA FIGUEROA SAAVEDRA</t>
  </si>
  <si>
    <t>zorelisafigueroa1705@gmail.com</t>
  </si>
  <si>
    <t>FP-34310</t>
  </si>
  <si>
    <t>DANIEL RODRIGUEZ</t>
  </si>
  <si>
    <t>Av 87 #20-134</t>
  </si>
  <si>
    <t>sandoval.rodriguez.danielsn@gmail.com</t>
  </si>
  <si>
    <t>CE-12464</t>
  </si>
  <si>
    <t>YEISON ALEXANDER PEDRAZA ARDILA</t>
  </si>
  <si>
    <t>cucuta</t>
  </si>
  <si>
    <t>PEDRAZA1134@GMAIL.COM</t>
  </si>
  <si>
    <t>PLAN DEBITO AUTOMÃ¡TICO POR 99.000 (PERMANENCIA 12 MESES)</t>
  </si>
  <si>
    <t>PAGOS ON LINE / CLEZ PAY-99000.00</t>
  </si>
  <si>
    <t>CE-12463</t>
  </si>
  <si>
    <t>OMAR CASTELLANO</t>
  </si>
  <si>
    <t>Calle 1N #0a-24 edificio rosmar</t>
  </si>
  <si>
    <t>chitomeio@hotmail.com</t>
  </si>
  <si>
    <t>FC-65883</t>
  </si>
  <si>
    <t>MARIA ALEJANDRA RODRIGUEZ REYES</t>
  </si>
  <si>
    <t>SAN FRANCISCO</t>
  </si>
  <si>
    <t>marialejandrarr25@gmail.com</t>
  </si>
  <si>
    <t>Recuperado</t>
  </si>
  <si>
    <t>PR-1731</t>
  </si>
  <si>
    <t>CARLOS SANTIAGO GARCIA BARRERA</t>
  </si>
  <si>
    <t>Calle 22 #24-65</t>
  </si>
  <si>
    <t>casagaba33@gmail.com</t>
  </si>
  <si>
    <t>El Prado</t>
  </si>
  <si>
    <t>FPP-26906</t>
  </si>
  <si>
    <t>GUSTAVO DIAZ</t>
  </si>
  <si>
    <t>AVEN 10N 17-92</t>
  </si>
  <si>
    <t>gdiaz420@unab.edu.co</t>
  </si>
  <si>
    <t>PR-1729</t>
  </si>
  <si>
    <t>JORGE LUIS MARTINEZ MARQUEZ</t>
  </si>
  <si>
    <t>CABECERA</t>
  </si>
  <si>
    <t>jorge.luis082000@gmail.com</t>
  </si>
  <si>
    <t>CB-8988</t>
  </si>
  <si>
    <t>BRAYAN DAVID VALBUENA GELVEZ</t>
  </si>
  <si>
    <t>cabecera</t>
  </si>
  <si>
    <t>brayanvg2002@gmail.com</t>
  </si>
  <si>
    <t>Cabecera</t>
  </si>
  <si>
    <t>CB-8987</t>
  </si>
  <si>
    <t>JULIAN CAMILO GOMEZ JAIME</t>
  </si>
  <si>
    <t>319 4146653</t>
  </si>
  <si>
    <t>juliangomezjaime@gmail.com</t>
  </si>
  <si>
    <t>CE-12451</t>
  </si>
  <si>
    <t>JORGE LUIS GARCÃ‰S</t>
  </si>
  <si>
    <t>Calle 4a #16-13 barrio san CristÃ³bal . Piedecuesta</t>
  </si>
  <si>
    <t>propio.35@hotmail.com</t>
  </si>
  <si>
    <t>PLAN DEBITO AUTOMATICO LOS PRIMER 3 MESES $49.900 DESDE EL CUARTO MES 89.000 (PERMANENCIA 12 MESES)</t>
  </si>
  <si>
    <t>CB-8986</t>
  </si>
  <si>
    <t>ANDREA CAROLINA REYES RODRIGUEZ</t>
  </si>
  <si>
    <t>bucaramanga</t>
  </si>
  <si>
    <t>acreyesrodriguez@gmail.com</t>
  </si>
  <si>
    <t>PR-1727</t>
  </si>
  <si>
    <t>JOSEPH RODRIGUEZ</t>
  </si>
  <si>
    <t>Calle 36 33 44</t>
  </si>
  <si>
    <t>josephr1326@gmail.com</t>
  </si>
  <si>
    <t>CE-12439</t>
  </si>
  <si>
    <t>JHON ANDEERSON MONTAÃ‘EZ HERNANDEZ</t>
  </si>
  <si>
    <t>calle 22an #2-110 Prados norte</t>
  </si>
  <si>
    <t>montanezjhon824@gmail.com</t>
  </si>
  <si>
    <t>FPNS-30952</t>
  </si>
  <si>
    <t>TANIA ALEJANDRA BERNAL GUEVARA</t>
  </si>
  <si>
    <t>conjunto bonaire</t>
  </si>
  <si>
    <t>bernaltaniaguevara@gmail.com</t>
  </si>
  <si>
    <t>Cucuta</t>
  </si>
  <si>
    <t>CLEZ 4 MESES DELUXE</t>
  </si>
  <si>
    <t>PAGOS ON LINE / CLEZ PAY-349000.00</t>
  </si>
  <si>
    <t>CE-12432</t>
  </si>
  <si>
    <t>MANUELA VALENTINA SERNA QUIÃ‘ONEZ</t>
  </si>
  <si>
    <t>notien@gmail.com</t>
  </si>
  <si>
    <t>FPF-33461</t>
  </si>
  <si>
    <t>STEPHANIE FERNANDA ARENAS RIVERA</t>
  </si>
  <si>
    <t>dprivera21@gmail.com</t>
  </si>
  <si>
    <t>FPF-33460</t>
  </si>
  <si>
    <t>LUIS DAVID GALVAN HERNANDEZ</t>
  </si>
  <si>
    <t>luisymarta1@gmail.com</t>
  </si>
  <si>
    <t>FPNS-30950</t>
  </si>
  <si>
    <t>JOSE MARIO DIAZ</t>
  </si>
  <si>
    <t>Pendiente@gmail.com</t>
  </si>
  <si>
    <t>FP-34291</t>
  </si>
  <si>
    <t>ALBERTO SERRANO RINCON</t>
  </si>
  <si>
    <t>CRA 22 #110-31</t>
  </si>
  <si>
    <t>YAENISERRANO@GMAIL.COM</t>
  </si>
  <si>
    <t>FC-65853</t>
  </si>
  <si>
    <t>ANGELA , HERNANDEZ ACEVEDO</t>
  </si>
  <si>
    <t>cll 57 7 61</t>
  </si>
  <si>
    <t>angelahdez_29@hotmail.com</t>
  </si>
  <si>
    <t>PR-1714</t>
  </si>
  <si>
    <t>MARIA DUARTE</t>
  </si>
  <si>
    <t>Calle 33#30-35 apto 504 edificio pentagrama</t>
  </si>
  <si>
    <t>mariaalejandraduarte@gmail.com</t>
  </si>
  <si>
    <t>FC-65852</t>
  </si>
  <si>
    <t>KEVIN DANIEL INFANTE HERNANDEZ</t>
  </si>
  <si>
    <t>cll 59 7 61</t>
  </si>
  <si>
    <t>kevinfante25@gmail.com</t>
  </si>
  <si>
    <t>FP-34286</t>
  </si>
  <si>
    <t>SANDRA ELOINA PABON MORA</t>
  </si>
  <si>
    <t>BUCARAMANGA</t>
  </si>
  <si>
    <t>314 2417309</t>
  </si>
  <si>
    <t>sandraeloinapm1983@gmail.com</t>
  </si>
  <si>
    <t>CB-8963</t>
  </si>
  <si>
    <t>PAULA ANDREA PEÃ‘ATE NATERA</t>
  </si>
  <si>
    <t>301 7073231</t>
  </si>
  <si>
    <t>paula07andrea@hotmail.com</t>
  </si>
  <si>
    <t>FPF-33444</t>
  </si>
  <si>
    <t>ANGIE MONTOYA</t>
  </si>
  <si>
    <t>Carrera 41 D No.203-239 Los Andes-Floridablanca</t>
  </si>
  <si>
    <t>angiemontoyaluna02@gmail.com</t>
  </si>
  <si>
    <t>Canaveral</t>
  </si>
  <si>
    <t>CE-12406</t>
  </si>
  <si>
    <t>JENNIFER SILVA</t>
  </si>
  <si>
    <t>calle 23n 4-114 prados norte</t>
  </si>
  <si>
    <t>jenifercasilva@outlook.es</t>
  </si>
  <si>
    <t>FPP-26893</t>
  </si>
  <si>
    <t>MARIA ACOSTA</t>
  </si>
  <si>
    <t>JUNIN</t>
  </si>
  <si>
    <t>emariaacosta3572@gmail.com</t>
  </si>
  <si>
    <t>FPP-26892</t>
  </si>
  <si>
    <t>NIXON CASTELLANOS</t>
  </si>
  <si>
    <t>br la argentina</t>
  </si>
  <si>
    <t>nameltrltr@gmail.com</t>
  </si>
  <si>
    <t>FPNS-30929</t>
  </si>
  <si>
    <t>MAYRA ALEJANDRA PAEZ TRILLOS</t>
  </si>
  <si>
    <t>3156001478 - 3168376158</t>
  </si>
  <si>
    <t>MAYRAPAEZ92@GMAIL.COM</t>
  </si>
  <si>
    <t>FP-34282</t>
  </si>
  <si>
    <t>JHON EDINSON SIERRA CORREDOR</t>
  </si>
  <si>
    <t>jerjhon55@gmail.com</t>
  </si>
  <si>
    <t>PR-1703</t>
  </si>
  <si>
    <t>LEIDIS TRINIDAD BAQUERO DEL TORO</t>
  </si>
  <si>
    <t>Prado</t>
  </si>
  <si>
    <t>leidisbaquero33@gmail.com</t>
  </si>
  <si>
    <t>CB-8959</t>
  </si>
  <si>
    <t>MARIA FERNANDA MOYA JIMENEZ</t>
  </si>
  <si>
    <t>Mfmoya893@gmail.com</t>
  </si>
  <si>
    <t>FPF-33441</t>
  </si>
  <si>
    <t>ZULY CAROLINA SOCHA CABALLERO</t>
  </si>
  <si>
    <t>zulycarolina1@hotmail.com</t>
  </si>
  <si>
    <t>13 MESES PREMIUM FP</t>
  </si>
  <si>
    <t>TARJETA CRÃ©DITO-591000.00</t>
  </si>
  <si>
    <t>MARIA VALENTINA RIVAS MORENO</t>
  </si>
  <si>
    <t>GREG JOSE JESUS ALVAREZ SUAREZ</t>
  </si>
  <si>
    <t>R03243 R03243</t>
  </si>
  <si>
    <t>FC-65827</t>
  </si>
  <si>
    <t>YONATAN ARLEY CASTRO JURADO</t>
  </si>
  <si>
    <t>real de minas</t>
  </si>
  <si>
    <t>faico21937@gmail.com</t>
  </si>
  <si>
    <t>FPNS-30904</t>
  </si>
  <si>
    <t>NORALBA NUÃ‘EZ ORDUZ</t>
  </si>
  <si>
    <t>Parques residenciales b casa g7</t>
  </si>
  <si>
    <t>yanamensajera@hotmail.com</t>
  </si>
  <si>
    <t>FPF-33423</t>
  </si>
  <si>
    <t>JHON CONTRERAS</t>
  </si>
  <si>
    <t>carrera 18 # 11 - 43 edificio Ã¡tiko 18</t>
  </si>
  <si>
    <t>theholyspiritandjohn@hotmail.com</t>
  </si>
  <si>
    <t>FPF-33422</t>
  </si>
  <si>
    <t>JHOAN STEBAN URUEÃ‘A GIRLADO</t>
  </si>
  <si>
    <t>Calle 19 #12-59 ciudad valencia</t>
  </si>
  <si>
    <t>jhoan.62.steban@gmail.com</t>
  </si>
  <si>
    <t>CE-12369</t>
  </si>
  <si>
    <t>PAULA VERA</t>
  </si>
  <si>
    <t>CEIBA II</t>
  </si>
  <si>
    <t>pendiente@gmail.com</t>
  </si>
  <si>
    <t>CE-12368</t>
  </si>
  <si>
    <t>YURLEY KARIME CHONA CABALLERO</t>
  </si>
  <si>
    <t>caballeroyurley26@gmail.com</t>
  </si>
  <si>
    <t>FPF-33418</t>
  </si>
  <si>
    <t>ROSA ESMERALDA ROJAS SERRANO</t>
  </si>
  <si>
    <t>rojasserrano0528@gmail.com</t>
  </si>
  <si>
    <t>FC-65826</t>
  </si>
  <si>
    <t>JUAN DIEGO HORMIGA DIAZ</t>
  </si>
  <si>
    <t>CLL 59 #07-51 PLAZA SAN MARCOS</t>
  </si>
  <si>
    <t>hormigadiazjuandiego@gmail.com</t>
  </si>
  <si>
    <t>FPNS-30897</t>
  </si>
  <si>
    <t>MARIA JIMENEZ</t>
  </si>
  <si>
    <t>Calle 1d #5b-62 Bosques de Santa Barbara, Prados del Este</t>
  </si>
  <si>
    <t>mafecita502@gmail.com</t>
  </si>
  <si>
    <t>PR-1698</t>
  </si>
  <si>
    <t>YEISON JAVIER LEON PUERTO</t>
  </si>
  <si>
    <t>yeisonleonpuerto@gmail.com</t>
  </si>
  <si>
    <t>CE-12364</t>
  </si>
  <si>
    <t>CLAUDIA DEL SOCORRO BENCARDINO LUNA</t>
  </si>
  <si>
    <t>claudiabencardino1971@gmail.com</t>
  </si>
  <si>
    <t>PR-1691</t>
  </si>
  <si>
    <t>DUMAR PUENTES SALCEDO</t>
  </si>
  <si>
    <t>calle 31 #33a-60</t>
  </si>
  <si>
    <t>315 8937311</t>
  </si>
  <si>
    <t>dumarpuentes007@gmail.com</t>
  </si>
  <si>
    <t>FPNS-30884</t>
  </si>
  <si>
    <t>ALMA LIZBETH HERNANDEZ CRIADO</t>
  </si>
  <si>
    <t>CALLE 10 BN EL BOSQUE</t>
  </si>
  <si>
    <t>magistrada1911@gmail.com</t>
  </si>
  <si>
    <t>CB-8917</t>
  </si>
  <si>
    <t>ELIANA JOSEFINA SANCHEZ CASTILLO</t>
  </si>
  <si>
    <t>sanchezeliana293@gmail.com</t>
  </si>
  <si>
    <t>JUNIOR ALEXIS BERMUDEZ</t>
  </si>
  <si>
    <t>PENDIENTE@GMAIL.COM</t>
  </si>
  <si>
    <t>DeLaCuesta</t>
  </si>
  <si>
    <t>FPF-33409</t>
  </si>
  <si>
    <t>DAYRON JOSE QUINTERO CARVAJALINO</t>
  </si>
  <si>
    <t>cra 19 17 65</t>
  </si>
  <si>
    <t>Dayron0951@gmail.com</t>
  </si>
  <si>
    <t>FPNS-30882</t>
  </si>
  <si>
    <t>CRISTIAN ANDRES SUMALAVE BONILLA</t>
  </si>
  <si>
    <t>PRADOS DEL ESTE</t>
  </si>
  <si>
    <t>CRISSUMBON@GMAIL.COM</t>
  </si>
  <si>
    <t>FP-34262</t>
  </si>
  <si>
    <t>ANGIE TATIANA MENDOZA CHAPARRO</t>
  </si>
  <si>
    <t>322 7950622</t>
  </si>
  <si>
    <t>angiemendoza270495@gmail.com</t>
  </si>
  <si>
    <t>FP-34255</t>
  </si>
  <si>
    <t>JOSE ANGEL SABINO GARCIA</t>
  </si>
  <si>
    <t>Calle 113a 18 18</t>
  </si>
  <si>
    <t>Josesabino0250@gmail.com</t>
  </si>
  <si>
    <t>CE-12345</t>
  </si>
  <si>
    <t>BRAYAN ANDRES LOPEZ CONTRERAS</t>
  </si>
  <si>
    <t>CUCUTA</t>
  </si>
  <si>
    <t>brayan-andres97@hotmail.com</t>
  </si>
  <si>
    <t>FPF-33396</t>
  </si>
  <si>
    <t>ALISON YAMILETH NIÃ‘O MORA</t>
  </si>
  <si>
    <t>alimora1913@gmail.com</t>
  </si>
  <si>
    <t>FP-34251</t>
  </si>
  <si>
    <t>JONATHAN JESSE CARVAJAL PALACIO</t>
  </si>
  <si>
    <t>CRA 13 # 103B -52 SANTAMARIA</t>
  </si>
  <si>
    <t>TOTANATOT@GMAIL.COM</t>
  </si>
  <si>
    <t>FPP-26873</t>
  </si>
  <si>
    <t>YEISON DAVID CELIS CONDE</t>
  </si>
  <si>
    <t>AlcÃ³n de granada</t>
  </si>
  <si>
    <t>312 5081790</t>
  </si>
  <si>
    <t>jeisonceliscls@gmail.com</t>
  </si>
  <si>
    <t>FPNS-30870</t>
  </si>
  <si>
    <t>CESAR VALERO</t>
  </si>
  <si>
    <t>Cll0an2e36 Quinta Bosh</t>
  </si>
  <si>
    <t>cavp211205@gmail.com</t>
  </si>
  <si>
    <t>CE-12344</t>
  </si>
  <si>
    <t>JERONIMO MEJIA</t>
  </si>
  <si>
    <t>JEROURBAN19@GMAIL.COM</t>
  </si>
  <si>
    <t>PR-1684</t>
  </si>
  <si>
    <t>EDGAR ANAYA TAME</t>
  </si>
  <si>
    <t>cra47b30-34</t>
  </si>
  <si>
    <t>edgaranaya1281@gmail.com</t>
  </si>
  <si>
    <t>CE-12343</t>
  </si>
  <si>
    <t>INGRID FABIOLA ALDANA OCHOA</t>
  </si>
  <si>
    <t>Calle 6N 1AE35, Edificio Torre Club</t>
  </si>
  <si>
    <t>ifao2023@gmail.com</t>
  </si>
  <si>
    <t>FP-34249</t>
  </si>
  <si>
    <t>MAURICIO ZULUAGA</t>
  </si>
  <si>
    <t>Calle 61 15-13 edificio puerta mayor</t>
  </si>
  <si>
    <t>cartagenabga@gmail.com</t>
  </si>
  <si>
    <t>FPNS-30869</t>
  </si>
  <si>
    <t>LEIDY JHURIANNY PARADA VELANDIA</t>
  </si>
  <si>
    <t>leidyparada21@gmail.com</t>
  </si>
  <si>
    <t>NATALIA VERGEL</t>
  </si>
  <si>
    <t>Cra 0cw 5n40</t>
  </si>
  <si>
    <t>nvergel20@gmail.com</t>
  </si>
  <si>
    <t>FP-34247</t>
  </si>
  <si>
    <t>ZHARICK HERRERA</t>
  </si>
  <si>
    <t>bella vista</t>
  </si>
  <si>
    <t>herrerazharick841@gmail.com</t>
  </si>
  <si>
    <t>FPNS-30859</t>
  </si>
  <si>
    <t>LORENT TATIANA QUINTERO PUERTO</t>
  </si>
  <si>
    <t>Dg 25 # 25-100 anillo vial occidental. Parques de bolivar 3. Torre 10-303</t>
  </si>
  <si>
    <t>Loreley060715@gmail.com</t>
  </si>
  <si>
    <t>FC-65802</t>
  </si>
  <si>
    <t>ANA SOFIA AVELLANEDA ASPRILLA</t>
  </si>
  <si>
    <t>cll real #6-41 portal de san sebastian</t>
  </si>
  <si>
    <t>sofiaavellaneda2005@gmail.com</t>
  </si>
  <si>
    <t>JULIÃN ALEJANDRO ALMEIDA MORALES</t>
  </si>
  <si>
    <t>Calle 8n 4-150</t>
  </si>
  <si>
    <t>alejandroalmeida9@gmail.com</t>
  </si>
  <si>
    <t>FC-65798</t>
  </si>
  <si>
    <t>KAREN DAYANA SOTO VANEGAS</t>
  </si>
  <si>
    <t>Conjunto residencial samanes 6</t>
  </si>
  <si>
    <t>karendsoto01@gmail.com</t>
  </si>
  <si>
    <t>PR-1677</t>
  </si>
  <si>
    <t>GINNEY ANDREA ARCINIEGAS ALFONSO</t>
  </si>
  <si>
    <t>yamasa101619@gmail.com</t>
  </si>
  <si>
    <t>FPNS-30854</t>
  </si>
  <si>
    <t>CESAR ROSALES</t>
  </si>
  <si>
    <t>conjunto bilbao 302 t4</t>
  </si>
  <si>
    <t>teamrolvis10@gmail.com</t>
  </si>
  <si>
    <t>FPNS-30853</t>
  </si>
  <si>
    <t>LAURA ALVIS</t>
  </si>
  <si>
    <t>conjunto bilbao apto 302 t4 barrio la insula</t>
  </si>
  <si>
    <t>lauraalvis24@gmail.com</t>
  </si>
  <si>
    <t>PR-1676</t>
  </si>
  <si>
    <t>LIZETH DELGADO</t>
  </si>
  <si>
    <t>Cll34#40-47</t>
  </si>
  <si>
    <t>lizdanidelcon2430@gmail.com</t>
  </si>
  <si>
    <t>PR-1675</t>
  </si>
  <si>
    <t>DIANA LÃ“PEZ</t>
  </si>
  <si>
    <t>CALLE 17 # 51 C 50 MIRAFLORES</t>
  </si>
  <si>
    <t>gogotatan@hotmail.com</t>
  </si>
  <si>
    <t>FPF-33392</t>
  </si>
  <si>
    <t>CARLOS VILLARREAL</t>
  </si>
  <si>
    <t>Carrera 21 # 51 - 90</t>
  </si>
  <si>
    <t>cavillarreal@unicesar.edu.co</t>
  </si>
  <si>
    <t>FPNS-30852</t>
  </si>
  <si>
    <t>SERGIO LAMUS</t>
  </si>
  <si>
    <t>Cll 8 Norte # 9E-11</t>
  </si>
  <si>
    <t>lamussergio@gmail.com</t>
  </si>
  <si>
    <t>CE-12331</t>
  </si>
  <si>
    <t>DIANA MARIA VELANDIA HERNANDEZ</t>
  </si>
  <si>
    <t>puertachuelo</t>
  </si>
  <si>
    <t>Dianavelandiahernandez@gmail.com</t>
  </si>
  <si>
    <t>CB-8896</t>
  </si>
  <si>
    <t>GABRIELA ALVAREZ FUENTES</t>
  </si>
  <si>
    <t>Calle 14#32a-24</t>
  </si>
  <si>
    <t>gabyalfu99@gmail.com</t>
  </si>
  <si>
    <t>CE-12330</t>
  </si>
  <si>
    <t>LUIS EDUARDO GUALDRON CRUZ</t>
  </si>
  <si>
    <t>313 3345059</t>
  </si>
  <si>
    <t>CE-12329</t>
  </si>
  <si>
    <t>JUAN DIEGO CASTILLA YAÃ‘EZ</t>
  </si>
  <si>
    <t>CALLE 3 N 0AE-12 LA CASTELLANA</t>
  </si>
  <si>
    <t>juandi1036@gmail.com</t>
  </si>
  <si>
    <t>CE-12319</t>
  </si>
  <si>
    <t>VALENTINA PRIETO PARRA</t>
  </si>
  <si>
    <t>tamarindo club</t>
  </si>
  <si>
    <t>valentinaprietoparra17@gmail.com</t>
  </si>
  <si>
    <t>FPF-33382</t>
  </si>
  <si>
    <t>ANDRES FELIPE RODRIGUEZ GONZALEZ</t>
  </si>
  <si>
    <t>rodriguezgonandresfelipe36@gmail.com</t>
  </si>
  <si>
    <t>FPP-26862</t>
  </si>
  <si>
    <t>ANGIE ROBAYO JAIMES</t>
  </si>
  <si>
    <t>angierobayo09@gmail.com</t>
  </si>
  <si>
    <t>FP-34232</t>
  </si>
  <si>
    <t>NEYDER RICARDO ORTIZ PUERTA</t>
  </si>
  <si>
    <t>nrpuertaortiz28@gmail.com</t>
  </si>
  <si>
    <t>CE-12304</t>
  </si>
  <si>
    <t>PAULA VALENTINA LOSADA VILLANUEVA</t>
  </si>
  <si>
    <t>CALLE 6 N NUEMOR 12E 138</t>
  </si>
  <si>
    <t>PAUVALENLANUTRI2003@GMAIL.COM</t>
  </si>
  <si>
    <t>CB-8886</t>
  </si>
  <si>
    <t>PEDRO ANDRES CARVAJAL CABALLERO</t>
  </si>
  <si>
    <t>NO QUIERE MAS INFORMACION</t>
  </si>
  <si>
    <t>notiene@gmail.com</t>
  </si>
  <si>
    <t>PR-1663</t>
  </si>
  <si>
    <t>LEIDY TATIANA LOPEZ FLOREZ</t>
  </si>
  <si>
    <t>EL PRADO</t>
  </si>
  <si>
    <t>315 2233135</t>
  </si>
  <si>
    <t>Leidy_tatiana0710@hotmail.com</t>
  </si>
  <si>
    <t>FC-65779</t>
  </si>
  <si>
    <t>YURLAINY HERNANDEZ</t>
  </si>
  <si>
    <t>calle 59 1w-36 MUTIS</t>
  </si>
  <si>
    <t>yurla2340@gmail.com</t>
  </si>
  <si>
    <t>FPNS-30837</t>
  </si>
  <si>
    <t>MARIA ANGELICA CASTRO SILVA</t>
  </si>
  <si>
    <t>mariacastro192003@gmail.com</t>
  </si>
  <si>
    <t>FV-16287</t>
  </si>
  <si>
    <t>SARA SUAREZ AGUILAR</t>
  </si>
  <si>
    <t>316 4788609</t>
  </si>
  <si>
    <t>Sarasuarez39@gmail.com</t>
  </si>
  <si>
    <t>Online</t>
  </si>
  <si>
    <t>4 MESES DELUXE</t>
  </si>
  <si>
    <t>PAGOS ON LINE / PAYU -349000.00</t>
  </si>
  <si>
    <t>JUAN DAVID RINCON GOMEZ</t>
  </si>
  <si>
    <t>FV-16286</t>
  </si>
  <si>
    <t>ROBERT DANILO DIAZ ARDILA</t>
  </si>
  <si>
    <t>8 MESES DELUXE</t>
  </si>
  <si>
    <t>TRANSFERENCIA BANCARIA-500000.00</t>
  </si>
  <si>
    <t>EDINSON HELI HERNANDEZ ACEVEDO</t>
  </si>
  <si>
    <t>CE-12291</t>
  </si>
  <si>
    <t>INGRY KATERINE ROJAS RODRIGUEZ</t>
  </si>
  <si>
    <t>Ingrykaterinerojas@gmail.com</t>
  </si>
  <si>
    <t>TARJETA DÃ©BITO-500000.00</t>
  </si>
  <si>
    <t>CE-12285</t>
  </si>
  <si>
    <t>MIGUEL BERMUDEZ</t>
  </si>
  <si>
    <t>Av libertadores 10bn 76 edificio florimar</t>
  </si>
  <si>
    <t>Miguelbermudez664@gmail.com</t>
  </si>
  <si>
    <t>CE-12284</t>
  </si>
  <si>
    <t>NAYRA ALEJANDRA PINZON SALAMANCA</t>
  </si>
  <si>
    <t>CALLE 118A 4-24 GARCIA HERREROS</t>
  </si>
  <si>
    <t>315 4230745 3014004938</t>
  </si>
  <si>
    <t>la.mejor.mita@gmail.com</t>
  </si>
  <si>
    <t>PR-1643</t>
  </si>
  <si>
    <t>JOSE LUIS MORENO URREGO</t>
  </si>
  <si>
    <t>joxe.perex2014@gmail.com</t>
  </si>
  <si>
    <t>CE-12279</t>
  </si>
  <si>
    <t>JULIAN RODRIGUEZ</t>
  </si>
  <si>
    <t>AV 3 # 57-70 APTO 502 GIOTTO</t>
  </si>
  <si>
    <t>JMRA18109K@GMAIL.COM</t>
  </si>
  <si>
    <t>FC-65748</t>
  </si>
  <si>
    <t>GISELLE MARIANA ORTIZ GARCIA</t>
  </si>
  <si>
    <t>cr 16 52 17</t>
  </si>
  <si>
    <t>gisrllemarianaortizgarcia@gmail.com</t>
  </si>
  <si>
    <t>ORLANDO PARDO</t>
  </si>
  <si>
    <t>davidorlandocarreÃ±o@gmail.com</t>
  </si>
  <si>
    <t>1 MES DELUXE</t>
  </si>
  <si>
    <t>TRANSFERENCIA BANCARIA-150000.00</t>
  </si>
  <si>
    <t>JUAN CAMILO AMAYA CARRASCAL</t>
  </si>
  <si>
    <t>CE-12243</t>
  </si>
  <si>
    <t>LESLY CONTRERAS</t>
  </si>
  <si>
    <t>Calle 11AN #11AE-68 conj. torres del centenario</t>
  </si>
  <si>
    <t>lkcontrerasp@ufpso.edu.co</t>
  </si>
  <si>
    <t>CE-12236</t>
  </si>
  <si>
    <t>VERONICA NIETO</t>
  </si>
  <si>
    <t>+57 3214733310</t>
  </si>
  <si>
    <t>veronieto1806@GMAIL.COM</t>
  </si>
  <si>
    <t>FPNS-30745</t>
  </si>
  <si>
    <t>YENNIFER COROMOTO CRUZ PEREZ</t>
  </si>
  <si>
    <t>fernandanieto.1561@gmail.com</t>
  </si>
  <si>
    <t>FPNS-30742</t>
  </si>
  <si>
    <t>HECTOR ANDRES MALDONADO CONTRERAS</t>
  </si>
  <si>
    <t>jardin plaza</t>
  </si>
  <si>
    <t>318 5795931</t>
  </si>
  <si>
    <t>maldonadocontreras37@gmail.com</t>
  </si>
  <si>
    <t>PR-1617</t>
  </si>
  <si>
    <t>JHOFRAN ORTEGA</t>
  </si>
  <si>
    <t>Cl 31#31-40</t>
  </si>
  <si>
    <t>jhofran1998ortega@gmail.com</t>
  </si>
  <si>
    <t>CE-12226</t>
  </si>
  <si>
    <t>HOLGER THOMAS PEREZ MORENO</t>
  </si>
  <si>
    <t>AV 7E 0AN-25</t>
  </si>
  <si>
    <t>tp6488402@gmail.com</t>
  </si>
  <si>
    <t>FC-65720</t>
  </si>
  <si>
    <t>CARMEN YOLANDA CALERO REINA</t>
  </si>
  <si>
    <t>MONTERREDONDO</t>
  </si>
  <si>
    <t>mariannyyedwin2009@gmail.com</t>
  </si>
  <si>
    <t>FPNS-30739</t>
  </si>
  <si>
    <t>ANGIE DANIELA ARIAS ROBLES</t>
  </si>
  <si>
    <t>AV 7 # 16 EN-22</t>
  </si>
  <si>
    <t>angie.daniela.arias.2021@gmail.com</t>
  </si>
  <si>
    <t>PR-1615</t>
  </si>
  <si>
    <t>YURI TATIANA TARAZONA PABON</t>
  </si>
  <si>
    <t>YURITARAZONA13@GMAIL.COM</t>
  </si>
  <si>
    <t>JAVIER DARIO CARDENAS SIERRA</t>
  </si>
  <si>
    <t>JUNIN 2</t>
  </si>
  <si>
    <t>javierdariocardenassierra@gmail.com</t>
  </si>
  <si>
    <t>FPF-33313</t>
  </si>
  <si>
    <t>MARIA CAMILA POLO SOLANO</t>
  </si>
  <si>
    <t>pendiente@hotmail.com</t>
  </si>
  <si>
    <t>FPF-33312</t>
  </si>
  <si>
    <t>JULIO VELÃSQUEZ</t>
  </si>
  <si>
    <t>Calle 16 19-49 San Francisco</t>
  </si>
  <si>
    <t>juliovelasquezserrano@gmail.com</t>
  </si>
  <si>
    <t>FPNS-30725</t>
  </si>
  <si>
    <t>JOHAN SEBASTIAN JAIMES MALDONADO</t>
  </si>
  <si>
    <t>Calle9#4-54 nuevo escobal</t>
  </si>
  <si>
    <t>3123875796 - 3107733239</t>
  </si>
  <si>
    <t>Jjimesmaldonado@gmail.com</t>
  </si>
  <si>
    <t>CE-12204</t>
  </si>
  <si>
    <t>THALIA VELANDIA</t>
  </si>
  <si>
    <t>Condominio Bonaire Torre 8 Apartamento 701</t>
  </si>
  <si>
    <t>tyvelandia@gmail.com</t>
  </si>
  <si>
    <t>FPNS-30717</t>
  </si>
  <si>
    <t>ALEJANDRO VILLAMIZAR</t>
  </si>
  <si>
    <t>Calle 8# 472 nuevo escobal</t>
  </si>
  <si>
    <t>luisalejo07111@gmail.com</t>
  </si>
  <si>
    <t>CB-8821</t>
  </si>
  <si>
    <t>LEANDRO PULGARIN</t>
  </si>
  <si>
    <t>Pulgarinleandro3@gmail.com</t>
  </si>
  <si>
    <t>FPF-33302</t>
  </si>
  <si>
    <t>ZURY SADAI VALENCIA BARRERA</t>
  </si>
  <si>
    <t>zurysadaivalencia6@gmail.com</t>
  </si>
  <si>
    <t>CE-12194</t>
  </si>
  <si>
    <t>GENESIS PAOLA RAMIREZ GUTIERREZ</t>
  </si>
  <si>
    <t>CALLE 2N #1E -87 CASTELLANA</t>
  </si>
  <si>
    <t>genetita@hotmail.com</t>
  </si>
  <si>
    <t>CE-12189</t>
  </si>
  <si>
    <t>JHON FREDDY RAMON CARDENAS</t>
  </si>
  <si>
    <t>jhonfreddyramon23@gmail.com</t>
  </si>
  <si>
    <t>FC-65695</t>
  </si>
  <si>
    <t>SOFFY ALEJANDRA MENDOZA GELVEZ</t>
  </si>
  <si>
    <t>+57 318 4084105</t>
  </si>
  <si>
    <t>soniacris1981@outlook.com</t>
  </si>
  <si>
    <t>PR-1598</t>
  </si>
  <si>
    <t>JUAN ESTEBAN GOMEZ GARCIA</t>
  </si>
  <si>
    <t>Gomezjuanes204@gmail.com</t>
  </si>
  <si>
    <t>CE-12155</t>
  </si>
  <si>
    <t>VLADIMIR JOSUE PORTILLO</t>
  </si>
  <si>
    <t>CL 12 NORTE N 3E 48 LA CAPELLANA</t>
  </si>
  <si>
    <t>vlajosue@gmail.com</t>
  </si>
  <si>
    <t>FPNS-30659</t>
  </si>
  <si>
    <t>HAROLD ALFONSO QUINTERO RAMOS</t>
  </si>
  <si>
    <t>ed davicci apar 305</t>
  </si>
  <si>
    <t>fons-23@hotmail.com</t>
  </si>
  <si>
    <t>FPNS-30658</t>
  </si>
  <si>
    <t>AURA HORTENSIA SILVA RINCON</t>
  </si>
  <si>
    <t>aura.silva.95@gmail.com</t>
  </si>
  <si>
    <t>CE-12146</t>
  </si>
  <si>
    <t>JUAN TORRES</t>
  </si>
  <si>
    <t>kingleys000@gmail.com</t>
  </si>
  <si>
    <t>CE-12139</t>
  </si>
  <si>
    <t>ZULENY RODRÃGUEZ</t>
  </si>
  <si>
    <t>Callejas del este B</t>
  </si>
  <si>
    <t>zulenyrodriguez030@gmail.com</t>
  </si>
  <si>
    <t>DANIELA BLANCO RIATIGA</t>
  </si>
  <si>
    <t>delacuesta</t>
  </si>
  <si>
    <t>318 0928238</t>
  </si>
  <si>
    <t>daniela@gmail.com</t>
  </si>
  <si>
    <t>CB-8791</t>
  </si>
  <si>
    <t>LAURA TATIANA COTES</t>
  </si>
  <si>
    <t>+57 314 5148428</t>
  </si>
  <si>
    <t>PENDIENTE@HOTMAIL.COM</t>
  </si>
  <si>
    <t>CORPORATIVO DEBITO AUTOMÃ¡TICO POR 89.000 (PERMANENCIA 6 MESES)</t>
  </si>
  <si>
    <t>PR-1579</t>
  </si>
  <si>
    <t>MILDRED BLANCO ARIAS</t>
  </si>
  <si>
    <t>Carrera 49#53-200 PAN DE AZUCAR</t>
  </si>
  <si>
    <t>yuddyanchique@gmail.com</t>
  </si>
  <si>
    <t>CB-8786</t>
  </si>
  <si>
    <t>MIGUEL ANGEL DAVID GARCIA ORTEGA</t>
  </si>
  <si>
    <t>CALLE 64 # 47-12</t>
  </si>
  <si>
    <t>madgo0529@gmail.com</t>
  </si>
  <si>
    <t>FPF-33262</t>
  </si>
  <si>
    <t>DIEGO ALEJANDRO CABALLERO ACOSTA</t>
  </si>
  <si>
    <t>yitancaballero@gmail.com</t>
  </si>
  <si>
    <t>FC-65679</t>
  </si>
  <si>
    <t>DANIEL FELIPE QUIJANO DOMINGUEZ</t>
  </si>
  <si>
    <t>CRA 1 45 88</t>
  </si>
  <si>
    <t>quijanodominguezdanielfelipe@gmail.com</t>
  </si>
  <si>
    <t>FPP-26788</t>
  </si>
  <si>
    <t>KARLA NIKOL SILVA SANCHEZ</t>
  </si>
  <si>
    <t>Diagonal 4c 1d norte 25 la argentina</t>
  </si>
  <si>
    <t>301 2080576</t>
  </si>
  <si>
    <t>karlanicolsilva0@gmail.con</t>
  </si>
  <si>
    <t>FPNS-30648</t>
  </si>
  <si>
    <t>ROBERT MANOTAS</t>
  </si>
  <si>
    <t>Siglo 21 calle 5a#17-35</t>
  </si>
  <si>
    <t>robert.manotas15@gmail.com</t>
  </si>
  <si>
    <t>FPP-26787</t>
  </si>
  <si>
    <t>NIKOL ANDREA MARTINEZ VANEGAS</t>
  </si>
  <si>
    <t>Cra 14 # 7-66 San Rafael</t>
  </si>
  <si>
    <t>Nikolandrea20.05@outlook.com</t>
  </si>
  <si>
    <t>FC-65669</t>
  </si>
  <si>
    <t>DIANA ROCIO GALLO RUEDA</t>
  </si>
  <si>
    <t>CIUDADELA</t>
  </si>
  <si>
    <t>lilicon28@hotmail.com</t>
  </si>
  <si>
    <t>CE-12125</t>
  </si>
  <si>
    <t>JHONATAN LEONARDO PEREZ NOCUA</t>
  </si>
  <si>
    <t>Ceiba II cll 12 av43 -53</t>
  </si>
  <si>
    <t>+57 320 9327171</t>
  </si>
  <si>
    <t>jhoyka0628@gmail.com</t>
  </si>
  <si>
    <t>PR-1569</t>
  </si>
  <si>
    <t>CLAUDIA PATRICIA RAMIREZ ESPARZA</t>
  </si>
  <si>
    <t>Calle 15 #55-157</t>
  </si>
  <si>
    <t>claudiaramirezesparza@gmail.com</t>
  </si>
  <si>
    <t>FPNS-30646</t>
  </si>
  <si>
    <t>JOSE MIGUEL RUIZ NOSSA</t>
  </si>
  <si>
    <t>Cll7#1-15 B. BogotÃ¡</t>
  </si>
  <si>
    <t>josemiguelruiznossa@gmail.com</t>
  </si>
  <si>
    <t>FPF-33258</t>
  </si>
  <si>
    <t>SARAY LINARES</t>
  </si>
  <si>
    <t>Torres del zafiro piedecuesta</t>
  </si>
  <si>
    <t>luis964alejandro@gmail.com</t>
  </si>
  <si>
    <t>FPP-26786</t>
  </si>
  <si>
    <t>MANUEL SAAID SEQUEDA MARTINEZ</t>
  </si>
  <si>
    <t>CANDELARIA</t>
  </si>
  <si>
    <t>manueeelsaaidmartinexx@gmail.com</t>
  </si>
  <si>
    <t>PR-1568</t>
  </si>
  <si>
    <t>DUBER ANDREY CORZO GALAN</t>
  </si>
  <si>
    <t>Bucaramanga</t>
  </si>
  <si>
    <t>dubergalan_12@hotmail.com</t>
  </si>
  <si>
    <t>CE-12123</t>
  </si>
  <si>
    <t>DIEGO FERNANDO HERNANDEZ</t>
  </si>
  <si>
    <t>calle 9 n 11-29</t>
  </si>
  <si>
    <t>diegohernandezmantilla@gmail.com</t>
  </si>
  <si>
    <t>CB-8778</t>
  </si>
  <si>
    <t>OBED SAMUEL OTERO SANTOS</t>
  </si>
  <si>
    <t>plaza san marcos torre 9 apt 401</t>
  </si>
  <si>
    <t>samuelotero07@gmail.com</t>
  </si>
  <si>
    <t>CE-12122</t>
  </si>
  <si>
    <t>CHRISTIAN PEDRAZA</t>
  </si>
  <si>
    <t>CALLE 6A #14-31 LOMA DE BOLIVAR</t>
  </si>
  <si>
    <t>christianpedraza0909@gmail.com</t>
  </si>
  <si>
    <t>PR-1566</t>
  </si>
  <si>
    <t>EDER FABIAN NIETO LEON</t>
  </si>
  <si>
    <t>CALLE41N34-53</t>
  </si>
  <si>
    <t>EDERFABIANNIETO@GMAIL.COM</t>
  </si>
  <si>
    <t>LEIDY DELGADO</t>
  </si>
  <si>
    <t>CLL 5 #11-39</t>
  </si>
  <si>
    <t>LEIDYCERON1515_@hotmail.com</t>
  </si>
  <si>
    <t>FP-34128</t>
  </si>
  <si>
    <t>CRISTIAN FELIPE VELASCO SERPA</t>
  </si>
  <si>
    <t>cristianfelipevelascos@gmail.com</t>
  </si>
  <si>
    <t>CB-8772</t>
  </si>
  <si>
    <t>LAURA VANESSA MUÃ‘OZ GOMEZ</t>
  </si>
  <si>
    <t>Cra 38A # 46 - 4</t>
  </si>
  <si>
    <t>lauvmg7@gmail.com</t>
  </si>
  <si>
    <t>FC-65665</t>
  </si>
  <si>
    <t>ERIKA JOHANNA DURAN PINEDA</t>
  </si>
  <si>
    <t>cll 64a #4w-22 los heroes</t>
  </si>
  <si>
    <t>erikaduran.mj@outlook.com</t>
  </si>
  <si>
    <t>CE-12104</t>
  </si>
  <si>
    <t>MARÃA FERNANDA ECHEVERRI JOYA</t>
  </si>
  <si>
    <t>mafe.ej1823@gmail.com</t>
  </si>
  <si>
    <t>CB-8769</t>
  </si>
  <si>
    <t>KAREN ALZATE</t>
  </si>
  <si>
    <t>CASA PUYANA</t>
  </si>
  <si>
    <t>KARENALZATE2015@GMAIL.COM</t>
  </si>
  <si>
    <t>6 MESES Y RECLAMA 60 DIAS WEB</t>
  </si>
  <si>
    <t>PAGOS ON LINE / CLEZ PAY-590000.00</t>
  </si>
  <si>
    <t>FP-34122</t>
  </si>
  <si>
    <t>MAYERLY JAIMES</t>
  </si>
  <si>
    <t>Cr 19 transversal 112 12 14</t>
  </si>
  <si>
    <t>jfingrid21@hotmail.com</t>
  </si>
  <si>
    <t>FPP-26775</t>
  </si>
  <si>
    <t>FRANKLYN AMINCAL TERAN RODRIGUEZ</t>
  </si>
  <si>
    <t>piedecuesta</t>
  </si>
  <si>
    <t>franklinteran8@icloud.com</t>
  </si>
  <si>
    <t>FPNS-30622</t>
  </si>
  <si>
    <t>DANIEL OSWALDO RAMIREZ RUIZ</t>
  </si>
  <si>
    <t>daniel.ramirez.ruiz13646@gmail.com</t>
  </si>
  <si>
    <t>FC-65655</t>
  </si>
  <si>
    <t>DIEGO ANDRES ALVAREZ BAEZ</t>
  </si>
  <si>
    <t>cll 59 #7-61 t 11 apto 401 real de minas</t>
  </si>
  <si>
    <t>diego_4112@hotmail.com</t>
  </si>
  <si>
    <t>FPNS-30621</t>
  </si>
  <si>
    <t>LILIANA ESPERANZA HERNANDEZ DURAN</t>
  </si>
  <si>
    <t>liliana8526@hotmail.com</t>
  </si>
  <si>
    <t>FC-65653</t>
  </si>
  <si>
    <t>DAGNIS CAROLINA GUIZA GARCIA</t>
  </si>
  <si>
    <t>cll 54 Â·7w-08 mutis</t>
  </si>
  <si>
    <t>dagnisguizag@gmail.com</t>
  </si>
  <si>
    <t>CE-12084</t>
  </si>
  <si>
    <t>MARIA ISABEL ROMERO GELVEZ</t>
  </si>
  <si>
    <t>mariaisabelromerogelvez082004@gmail.com</t>
  </si>
  <si>
    <t>FP-34112</t>
  </si>
  <si>
    <t>SANTIAGO SOTO</t>
  </si>
  <si>
    <t>Carrera 33 N 120 - 06 APTO 102</t>
  </si>
  <si>
    <t>ssantiagosh14@gmail.com</t>
  </si>
  <si>
    <t>FP-34111</t>
  </si>
  <si>
    <t>SILVIA HERNANDEZ</t>
  </si>
  <si>
    <t>Carrera 28B N 195-25</t>
  </si>
  <si>
    <t>silviahdez1602@gmail.com</t>
  </si>
  <si>
    <t>FP-34110</t>
  </si>
  <si>
    <t>YANINA ISABEL MENDOZA HERNANDEZ</t>
  </si>
  <si>
    <t>Diagonal 105 27-39 conjunto la Calleja</t>
  </si>
  <si>
    <t>Isabellamendoza91@gmail.com</t>
  </si>
  <si>
    <t>CB-8746</t>
  </si>
  <si>
    <t>JOHANA MILAGROS ROA ROA</t>
  </si>
  <si>
    <t>3188513635 - 3053864995</t>
  </si>
  <si>
    <t>Johami270@gmail.com</t>
  </si>
  <si>
    <t>CE-12071</t>
  </si>
  <si>
    <t>DIEGO ANDRES TINOCO DIAZ</t>
  </si>
  <si>
    <t>AV0 #1N - 75 BARRIO LLERAS</t>
  </si>
  <si>
    <t>keviinscornerf19@gmail.com</t>
  </si>
  <si>
    <t>FPP-26772</t>
  </si>
  <si>
    <t>SANTIAGO ANTOLINEZ</t>
  </si>
  <si>
    <t>cra 4 1nd 60 conjunto entreparques</t>
  </si>
  <si>
    <t>satigo554@gmail.com</t>
  </si>
  <si>
    <t>PR-1549</t>
  </si>
  <si>
    <t>ALEXANDRA GELVEZ</t>
  </si>
  <si>
    <t>Carrera40 44 56</t>
  </si>
  <si>
    <t>alexandrag54@hotmail.com</t>
  </si>
  <si>
    <t>CE-12070</t>
  </si>
  <si>
    <t>ALBANY VALERIA SUAREZ AMAYA</t>
  </si>
  <si>
    <t>300 5907278</t>
  </si>
  <si>
    <t>albanysa0121@hotmail.com</t>
  </si>
  <si>
    <t>PR-1548</t>
  </si>
  <si>
    <t>VALERIE MORENO ECHAVARRIA</t>
  </si>
  <si>
    <t>km 18 via cucuta</t>
  </si>
  <si>
    <t>valeri.ecahavarria@icloud.com</t>
  </si>
  <si>
    <t>FC-65640</t>
  </si>
  <si>
    <t>SERGIO ANDRES DELGADO BALLESTEROS</t>
  </si>
  <si>
    <t>sergio2182808@gmail.com</t>
  </si>
  <si>
    <t>ROBERTO CARLOS JIMENEZ PINZON</t>
  </si>
  <si>
    <t>rcjimenez35@gmail.com</t>
  </si>
  <si>
    <t>MONICA ROCIO SERRANO FERREIRA</t>
  </si>
  <si>
    <t>monicaserrano87@hotmail.com</t>
  </si>
  <si>
    <t>TARJETA CRÃ©DITO-500000.00</t>
  </si>
  <si>
    <t>JOSE ANTONIO PINZON GOMEZ</t>
  </si>
  <si>
    <t>505567 505567</t>
  </si>
  <si>
    <t>FPF-33217</t>
  </si>
  <si>
    <t>ANTONY SIERRA MOSQUERA</t>
  </si>
  <si>
    <t>antonymosquera80@gmial.com</t>
  </si>
  <si>
    <t>FPF-33216</t>
  </si>
  <si>
    <t>CARLOS ELIAN GALVIS OCHOA</t>
  </si>
  <si>
    <t>MARSELLA REAL</t>
  </si>
  <si>
    <t>mycorreopersonal2022@gmail.com</t>
  </si>
  <si>
    <t>CE-12059</t>
  </si>
  <si>
    <t>ADRIAN CORREA</t>
  </si>
  <si>
    <t>Mz d lote 10B urb la esperanza</t>
  </si>
  <si>
    <t>adrianrojasz@gmail.com</t>
  </si>
  <si>
    <t>CE-12056</t>
  </si>
  <si>
    <t>ANYELA MORANTES BALLEN</t>
  </si>
  <si>
    <t>313 4375772</t>
  </si>
  <si>
    <t>anyelamorantes16@gmail.com</t>
  </si>
  <si>
    <t>PR-1542</t>
  </si>
  <si>
    <t>KAREN DAYANNA PATIÃ‘O SALAMANCA</t>
  </si>
  <si>
    <t>Calle 25 #12-68 apto 201 Ciudad Valencia</t>
  </si>
  <si>
    <t>karenpatino@gmail.com</t>
  </si>
  <si>
    <t>CB-8732</t>
  </si>
  <si>
    <t>RICARDO JOSE BUSTOS BECERRA</t>
  </si>
  <si>
    <t>+57 316 3091712</t>
  </si>
  <si>
    <t>ricardobustos@gmail.com</t>
  </si>
  <si>
    <t>CE-12047</t>
  </si>
  <si>
    <t>VALERIA ROBLES ANGARITA</t>
  </si>
  <si>
    <t>calle 3a norte #0ae-110 castellana</t>
  </si>
  <si>
    <t>valeriarobles.a30@gmail.com</t>
  </si>
  <si>
    <t>LEIDY JOHANA OLAVE RODRIGUEZ</t>
  </si>
  <si>
    <t>CABCERA</t>
  </si>
  <si>
    <t>jo_hana_0110@hotmail.com</t>
  </si>
  <si>
    <t>FC-65620</t>
  </si>
  <si>
    <t>DEIVI GARCIA GARCIA</t>
  </si>
  <si>
    <t>317 4507675</t>
  </si>
  <si>
    <t>d1007325309@gmail.com</t>
  </si>
  <si>
    <t>FP-34091</t>
  </si>
  <si>
    <t>ANDRES LOAIZA</t>
  </si>
  <si>
    <t>Carrera 24 #104-9</t>
  </si>
  <si>
    <t>andrestmt2207@gmail.com</t>
  </si>
  <si>
    <t>FC-65619</t>
  </si>
  <si>
    <t>ASHLEY DANIELA SUAREZ MANOTAS</t>
  </si>
  <si>
    <t>ashdani1127@gmail.com</t>
  </si>
  <si>
    <t>FP-34090</t>
  </si>
  <si>
    <t>SHAROLD SMITH MARTINEZ</t>
  </si>
  <si>
    <t>sharito.1017@hotmail.com</t>
  </si>
  <si>
    <t>CB-8727</t>
  </si>
  <si>
    <t>GUSTAVO ADOLFO MORALES MURCIA</t>
  </si>
  <si>
    <t>morales4002@hotmail.com</t>
  </si>
  <si>
    <t>ELIANNYS ELEVIN HERNANDEZ MURILLO</t>
  </si>
  <si>
    <t>+57 310 7571349</t>
  </si>
  <si>
    <t>heliannys146@gmail.com</t>
  </si>
  <si>
    <t>FPP-26760</t>
  </si>
  <si>
    <t>BRAYAN STYD HERNANDEZ SERRANO</t>
  </si>
  <si>
    <t>STYDSERRANO@GMAIL.COM</t>
  </si>
  <si>
    <t>FPP-26757</t>
  </si>
  <si>
    <t>SHENAY NAYAT CASTRO</t>
  </si>
  <si>
    <t>shenaynayat@gmail.com</t>
  </si>
  <si>
    <t>CB-8719</t>
  </si>
  <si>
    <t>MARIA PAULA MURCIA</t>
  </si>
  <si>
    <t>315 6084983</t>
  </si>
  <si>
    <t>FP-34071</t>
  </si>
  <si>
    <t>DIANA CAROLINA GUERRERO DIAZ</t>
  </si>
  <si>
    <t>dianacarolinag837@gmail.com</t>
  </si>
  <si>
    <t>CB-8718</t>
  </si>
  <si>
    <t>LUZ STELLA SERRANO CHINCHILLA</t>
  </si>
  <si>
    <t>cra 38 #51-136</t>
  </si>
  <si>
    <t>luzserrano100x@gmail.com</t>
  </si>
  <si>
    <t>CE-12017</t>
  </si>
  <si>
    <t>LAURA RANGEL</t>
  </si>
  <si>
    <t>laurangcard@hotmail.com</t>
  </si>
  <si>
    <t>FC-65601</t>
  </si>
  <si>
    <t>LUZBY LOPEZ</t>
  </si>
  <si>
    <t>AV LOS BUCAROS 60-319 BLO 4 AP 502</t>
  </si>
  <si>
    <t>luzby.lopez@gmail.com</t>
  </si>
  <si>
    <t>PR-1531</t>
  </si>
  <si>
    <t>IVAN VERGARA</t>
  </si>
  <si>
    <t>Carrera 31 #30A-04</t>
  </si>
  <si>
    <t>ivycorp@gmail.com</t>
  </si>
  <si>
    <t>CE-12014</t>
  </si>
  <si>
    <t>ALVARO ALEJANDRO GUERRERO SIERRA</t>
  </si>
  <si>
    <t>AV 1E #1N -20</t>
  </si>
  <si>
    <t>ALVAROGUERREROS@HOTMAIL.COM</t>
  </si>
  <si>
    <t>FC-65594</t>
  </si>
  <si>
    <t>ERIKA KATHERINE PEREZ ROMERO</t>
  </si>
  <si>
    <t>cr 23 n6-67 san francisco</t>
  </si>
  <si>
    <t>erikakatherinep@gmail.com</t>
  </si>
  <si>
    <t>FPNS-30531</t>
  </si>
  <si>
    <t>MARÃA PUERTA</t>
  </si>
  <si>
    <t>Conjunto residencial parques de bolÃ­var</t>
  </si>
  <si>
    <t>valentinapuerto815@gmail.com</t>
  </si>
  <si>
    <t>CE-12013</t>
  </si>
  <si>
    <t>NATALIA PEREZ LEMUS</t>
  </si>
  <si>
    <t>CLL 6N #12E-138 LOS ACACIOS</t>
  </si>
  <si>
    <t>302 2965188</t>
  </si>
  <si>
    <t>NATALIAPEL.0201@GMAIL.COM</t>
  </si>
  <si>
    <t>FPP-26756</t>
  </si>
  <si>
    <t>ANDRES MAURICIO BALLESTEROS GARCIA</t>
  </si>
  <si>
    <t>duarte9701@gmail.com</t>
  </si>
  <si>
    <t>PR-1529</t>
  </si>
  <si>
    <t>DAVID MENDEZ</t>
  </si>
  <si>
    <t>Cra62#14-25</t>
  </si>
  <si>
    <t>davidwtf63@hotmail.com</t>
  </si>
  <si>
    <t>FPNS-30442</t>
  </si>
  <si>
    <t>JUAN ANDRES RAMIREZ SANCHEZ</t>
  </si>
  <si>
    <t>302 8270927</t>
  </si>
  <si>
    <t>juanandresrasa@gmail.com</t>
  </si>
  <si>
    <t>PR-1487</t>
  </si>
  <si>
    <t>LONDIS YISSEL ARRIETA BLANCO</t>
  </si>
  <si>
    <t>322 7077666</t>
  </si>
  <si>
    <t>yisearrieta73@gmail.com</t>
  </si>
  <si>
    <t>FPF-33105</t>
  </si>
  <si>
    <t>GABRIEL VELA</t>
  </si>
  <si>
    <t>Cra 17 #1350</t>
  </si>
  <si>
    <t>gabriel.alejandro125@gmail.com</t>
  </si>
  <si>
    <t>PR-1457</t>
  </si>
  <si>
    <t>LENNIN ARLEY PEÃ‘A GOMEZ</t>
  </si>
  <si>
    <t>CL 146 C # 60 - 61 PI 2 ET CARMEN V</t>
  </si>
  <si>
    <t>lenonpg087@gmail.com</t>
  </si>
  <si>
    <t>CE-11858</t>
  </si>
  <si>
    <t>MANUEL MARMOLEJO</t>
  </si>
  <si>
    <t>MANUEL_MARMOLEJO@HOTMAIL.COM</t>
  </si>
  <si>
    <t>CE-11857</t>
  </si>
  <si>
    <t>GABRIEL ANDRÃ‰S PORTILLA MONTAÃ‘O</t>
  </si>
  <si>
    <t>Calle 2N #3E-48 Br. La Capillana</t>
  </si>
  <si>
    <t>Gabostoy@gmail.com</t>
  </si>
  <si>
    <t>CB-8609</t>
  </si>
  <si>
    <t>MARIA PAULA VELANDIA MALAGON</t>
  </si>
  <si>
    <t>PLAZUELA SANTA CLARAT1 APTO 503</t>
  </si>
  <si>
    <t>pauvxm@gmail.com</t>
  </si>
  <si>
    <t>CE-11846</t>
  </si>
  <si>
    <t>YORDAN PAEZ</t>
  </si>
  <si>
    <t>Diagonal 5 #9-75 Prados del Este</t>
  </si>
  <si>
    <t>yordansue98@gmail.com</t>
  </si>
  <si>
    <t>CE-11845</t>
  </si>
  <si>
    <t>BRENDA ARIAS</t>
  </si>
  <si>
    <t>diagonal 5 #9-75 Barrio Prados del Este</t>
  </si>
  <si>
    <t>nataliaarias199rodriguez@gmail.com</t>
  </si>
  <si>
    <t>FPNS-30322</t>
  </si>
  <si>
    <t>RONALD CASTILLO</t>
  </si>
  <si>
    <t>ankisantiagozero@gmail.com</t>
  </si>
  <si>
    <t>FPP-26665</t>
  </si>
  <si>
    <t>LEIDY LAITON</t>
  </si>
  <si>
    <t>Calle 3an 3c 22</t>
  </si>
  <si>
    <t>laitonleidysofia@gmail.com</t>
  </si>
  <si>
    <t>FC-65417</t>
  </si>
  <si>
    <t>JHORGIN JHOMARFI MURALLAS SANDOVAL</t>
  </si>
  <si>
    <t>estoraques</t>
  </si>
  <si>
    <t>Jhorguin_123@hotmail.com</t>
  </si>
  <si>
    <t>CB-8534</t>
  </si>
  <si>
    <t>JUAN CARLOS VILLAMIZAR JAIMES</t>
  </si>
  <si>
    <t>Torre 1 apto 1206 Monviso</t>
  </si>
  <si>
    <t>Juank_r.b.d@hotmail.com</t>
  </si>
  <si>
    <t>ANYELA LISLEY JAIMES VERA</t>
  </si>
  <si>
    <t>jaimeslisley8@gmail.com</t>
  </si>
  <si>
    <t>FPF-32992</t>
  </si>
  <si>
    <t>MARIA CLARA JAIMES LEAL</t>
  </si>
  <si>
    <t>conjunto panorama buena vista</t>
  </si>
  <si>
    <t>claraleal99@hotmail.com</t>
  </si>
  <si>
    <t>FPNS-30207</t>
  </si>
  <si>
    <t>DIANA LEON</t>
  </si>
  <si>
    <t>av4 a 7_68 prados del este</t>
  </si>
  <si>
    <t>diana09meza@gmail.com</t>
  </si>
  <si>
    <t>ADRIAN CAMILO LOPEZ RODRIGUEZ</t>
  </si>
  <si>
    <t>adrianlopezteacher@gmail.com</t>
  </si>
  <si>
    <t>PR-1351</t>
  </si>
  <si>
    <t>MARCOS MATIUS ANTOLINEZ RUEDA</t>
  </si>
  <si>
    <t>Calle 18# 32d- 37</t>
  </si>
  <si>
    <t>antolinezrmarcosm@gmail.com</t>
  </si>
  <si>
    <t>FP-33899</t>
  </si>
  <si>
    <t>MAIRA ALEJANDRA ANGULO JIMENEZ</t>
  </si>
  <si>
    <t>CALLE 111 #22B 52</t>
  </si>
  <si>
    <t>ALEJANDRAANGULO3115@GMAIL.COM</t>
  </si>
  <si>
    <t>CE-11729</t>
  </si>
  <si>
    <t>MARBEL DAYANNA CARVAJALINO O'MEARA</t>
  </si>
  <si>
    <t>Calle23n#18e-51 niza</t>
  </si>
  <si>
    <t>dayannaomeara05@gmail.com</t>
  </si>
  <si>
    <t>CB-8530</t>
  </si>
  <si>
    <t>NICOLE JULIETH ROJAS QUESADA</t>
  </si>
  <si>
    <t>calle 17 #3w-65</t>
  </si>
  <si>
    <t>nicoljuliethr@gmail.com</t>
  </si>
  <si>
    <t>FPP-26630</t>
  </si>
  <si>
    <t>SHARON DANIELA ACOSTA VILLARREAL</t>
  </si>
  <si>
    <t>300 6938763</t>
  </si>
  <si>
    <t>shadaavi08@gmail.com</t>
  </si>
  <si>
    <t>PR-1328</t>
  </si>
  <si>
    <t>EDGAR JOSUE DURAN MORA</t>
  </si>
  <si>
    <t>mc8863774@gmail.com</t>
  </si>
  <si>
    <t>FP-33869</t>
  </si>
  <si>
    <t>GINA DANIELA GALEANO GALVEZ</t>
  </si>
  <si>
    <t>danielagaleano1002@gmail.com</t>
  </si>
  <si>
    <t>FPF-32949</t>
  </si>
  <si>
    <t>YOSSY ESTEBAN HERNANDEZ PADILLA</t>
  </si>
  <si>
    <t>NARIÃ‘O</t>
  </si>
  <si>
    <t>yossyestebanhernandez@gmail.com</t>
  </si>
  <si>
    <t>PR-1326</t>
  </si>
  <si>
    <t>JUAN DIEGO BALAGUERA BAUTISTA</t>
  </si>
  <si>
    <t>BOULEVARD #18-45</t>
  </si>
  <si>
    <t>diego07bb@gmail.com</t>
  </si>
  <si>
    <t>FC-65358</t>
  </si>
  <si>
    <t>SILVIA PAOLA RAMIREZ OROZCO</t>
  </si>
  <si>
    <t>CALLE62#7W25 ED SANTA LUCIA</t>
  </si>
  <si>
    <t>ramirezpaola.1931@gmail.com</t>
  </si>
  <si>
    <t>FPF-32948</t>
  </si>
  <si>
    <t>LIZETH MARTINEZ</t>
  </si>
  <si>
    <t>Calle 9 # 21-22</t>
  </si>
  <si>
    <t>lizethpmartinez23@gmail.com</t>
  </si>
  <si>
    <t>FPP-26619</t>
  </si>
  <si>
    <t>DIANA KATHERINE DELGADO LARROTTA</t>
  </si>
  <si>
    <t>Cra 4 # 10 - 17 La Feria Piedecuesta</t>
  </si>
  <si>
    <t>nanis1993d@gmail.com</t>
  </si>
  <si>
    <t>LAUREN YUSELI ORTIZ JAIMES</t>
  </si>
  <si>
    <t>LAURENJAIMES09@GMAIL.COM</t>
  </si>
  <si>
    <t>CB-8521</t>
  </si>
  <si>
    <t>SHANTY DANIELA ALFONSO PIMIENTO</t>
  </si>
  <si>
    <t>Shantydanalfonso@gmail.com</t>
  </si>
  <si>
    <t>PR-1322</t>
  </si>
  <si>
    <t>ANNY LORENA BRICEÃ‘O GONZALEZ</t>
  </si>
  <si>
    <t>annylbg587@gmail.com</t>
  </si>
  <si>
    <t>CB-8511</t>
  </si>
  <si>
    <t>CARLOS ALBERTO CASTILLO PACHON</t>
  </si>
  <si>
    <t>sector 16,bloque 3-3,apto 503</t>
  </si>
  <si>
    <t>cc499351@gmail.com</t>
  </si>
  <si>
    <t>FP-33838</t>
  </si>
  <si>
    <t>CAMILA ANDREA CASTELLANOS CASTAÃ‘EDA</t>
  </si>
  <si>
    <t>camila.0902@outlook.com</t>
  </si>
  <si>
    <t>PR-1297</t>
  </si>
  <si>
    <t>SANDRA MARCELA GONZALEZ GUERRA</t>
  </si>
  <si>
    <t>marcelagg_@hotmail.com</t>
  </si>
  <si>
    <t>FC-65341</t>
  </si>
  <si>
    <t>STEVENSON REYNEL PEREZ</t>
  </si>
  <si>
    <t>stevensonreynel44@gmail.com</t>
  </si>
  <si>
    <t>PR-1306</t>
  </si>
  <si>
    <t>JUAN ANDRES ALFONSO LESMES</t>
  </si>
  <si>
    <t>jandresalfonsolesmes@gmail.com</t>
  </si>
  <si>
    <t>FPNS-30071</t>
  </si>
  <si>
    <t>EDWIN ALFREDO MONROY GARCIA</t>
  </si>
  <si>
    <t>JardÃ­n plaza</t>
  </si>
  <si>
    <t>edwinalfredomonroygarcia488@gmail.com</t>
  </si>
  <si>
    <t>FPNS-30070</t>
  </si>
  <si>
    <t>CL 13 AV 28 40 POLICARPA 40 TOR ALTOS B 704</t>
  </si>
  <si>
    <t>ahiejuan@gmail.com</t>
  </si>
  <si>
    <t>PR-1305</t>
  </si>
  <si>
    <t>KAREN DAYAN NARVAEZ MORA</t>
  </si>
  <si>
    <t>narvaezk391@gmail.com</t>
  </si>
  <si>
    <t>CB-8493</t>
  </si>
  <si>
    <t>MARIA MONICA SUAREZ DIAZ</t>
  </si>
  <si>
    <t>CaÃ±averal</t>
  </si>
  <si>
    <t>3152094192 - 3046398187</t>
  </si>
  <si>
    <t>Mariamonicasuarezdiaz@gmail.com</t>
  </si>
  <si>
    <t>CB-8492</t>
  </si>
  <si>
    <t>RUTH ABIGAIL VIERA RIVERO</t>
  </si>
  <si>
    <t>abigail120889@gmail.com</t>
  </si>
  <si>
    <t>CE-11654</t>
  </si>
  <si>
    <t>JUAN PABLO QUINTERO VILLAMIZAR</t>
  </si>
  <si>
    <t>juanpqvillamizar@gmail.com</t>
  </si>
  <si>
    <t>CE-11657</t>
  </si>
  <si>
    <t>FERNEY HERNÃNDEZ</t>
  </si>
  <si>
    <t>CEIBA</t>
  </si>
  <si>
    <t>ytferneyscoc@gmail.com</t>
  </si>
  <si>
    <t>8 MESES Y RECLAMA 60 DIAS WEB</t>
  </si>
  <si>
    <t>PAGOS ON LINE / CLEZ PAY-690000.00</t>
  </si>
  <si>
    <t>PR-1295</t>
  </si>
  <si>
    <t>SEBASTIAN AVENDAÃ‘O SANDOVAL</t>
  </si>
  <si>
    <t>tatancrash1234@gmail.com</t>
  </si>
  <si>
    <t>PR-1293</t>
  </si>
  <si>
    <t>SARA SOFIA DUARTE ANGARITA</t>
  </si>
  <si>
    <t>CB-8487</t>
  </si>
  <si>
    <t>DANIEL PICO</t>
  </si>
  <si>
    <t>Carrera 37 # 44 - 60</t>
  </si>
  <si>
    <t>danpic08@gmail.com</t>
  </si>
  <si>
    <t>PLAN DEBITO AUTOMATICO PRIMER MES $49.900 DESDE EL SEGUNDO MES 89.000 (PERMANENCIA 12 MESES</t>
  </si>
  <si>
    <t>CB-8486</t>
  </si>
  <si>
    <t>DAYANA MARCELA OROZCO IBAÂ¥EZ</t>
  </si>
  <si>
    <t>+57 322 4230595</t>
  </si>
  <si>
    <t>dayanaorozco300@gmail.com</t>
  </si>
  <si>
    <t>FPNS-30058</t>
  </si>
  <si>
    <t>NELSON GALVIS</t>
  </si>
  <si>
    <t>Manzana A4 casa 11 urb metropoli</t>
  </si>
  <si>
    <t>negala99@gmail.com</t>
  </si>
  <si>
    <t>FP-33827</t>
  </si>
  <si>
    <t>JULI ANDREA RUEDA MEJIA</t>
  </si>
  <si>
    <t>CLL 114 # 14-20 PROVENZA</t>
  </si>
  <si>
    <t>jruedam14@hotmail.com</t>
  </si>
  <si>
    <t>CE-11625</t>
  </si>
  <si>
    <t>LEIDY JOHANNA PEÃ‘ARANDA CONTRERAS</t>
  </si>
  <si>
    <t>CALLE 3N # 3E-42 CAPILLANA CUCUTA</t>
  </si>
  <si>
    <t>johannapenaranda54@gmail.com</t>
  </si>
  <si>
    <t>BRAYAN MARTIN SANABRIA SOCHA</t>
  </si>
  <si>
    <t>sanabriabryam@gmail.com</t>
  </si>
  <si>
    <t>FP-33826</t>
  </si>
  <si>
    <t>NICOLLE JULIANA ARBOLEDA ROMERO</t>
  </si>
  <si>
    <t>julianaromero.1312@gmail.com</t>
  </si>
  <si>
    <t>CB-8485</t>
  </si>
  <si>
    <t>LEIDY MARCELA MONTAÃ‘EZ RODRIGUEZ</t>
  </si>
  <si>
    <t>Cll18#57_17 morrorico</t>
  </si>
  <si>
    <t>leidymontanez1992@gmail.com</t>
  </si>
  <si>
    <t>FPNS-30046</t>
  </si>
  <si>
    <t>DAM SEBASTIAN VARGAS SARMIENTO</t>
  </si>
  <si>
    <t>Calle 0 # 5-21 urbanizaciÃ³n villas del escobal</t>
  </si>
  <si>
    <t>damsebastianvargassarmiemto@gmail.com</t>
  </si>
  <si>
    <t>FPF-32895</t>
  </si>
  <si>
    <t>ANA HERRERA</t>
  </si>
  <si>
    <t>Granja de Provenza parte alta</t>
  </si>
  <si>
    <t>vickiherrera400@gmail.com</t>
  </si>
  <si>
    <t>PR-1285</t>
  </si>
  <si>
    <t>ANDRES FELIPE DUARTE LUCERO</t>
  </si>
  <si>
    <t>andresfduartel@hotmail.com</t>
  </si>
  <si>
    <t>CE-11640</t>
  </si>
  <si>
    <t>JAIR SEBASTIAN DIAZ MAYORGA</t>
  </si>
  <si>
    <t>FPP-26606</t>
  </si>
  <si>
    <t>DANNA CASTRO</t>
  </si>
  <si>
    <t>danacastro1528@gmail.com</t>
  </si>
  <si>
    <t>FPNS-30038</t>
  </si>
  <si>
    <t>BREYNER MAURICIO ROSALES MANTILLA</t>
  </si>
  <si>
    <t>CEIBA 2</t>
  </si>
  <si>
    <t>FC-65305</t>
  </si>
  <si>
    <t>CESAR STIVEN QUINTERO MORENO</t>
  </si>
  <si>
    <t>Cll35 Â·25.23 Antonio Santos</t>
  </si>
  <si>
    <t>mvquinteromoreno@gmail.com</t>
  </si>
  <si>
    <t>PR-1281</t>
  </si>
  <si>
    <t>LIZETH CAROLINA MANRIQUE RODRIGUEZ</t>
  </si>
  <si>
    <t>lizeth04090313@hotmail.com</t>
  </si>
  <si>
    <t>CE-11620</t>
  </si>
  <si>
    <t>RICARDO PARADA</t>
  </si>
  <si>
    <t>Crra 6 3-14</t>
  </si>
  <si>
    <t>3222764727 3212512443</t>
  </si>
  <si>
    <t>ricardoalexispb@ufps.edu.co</t>
  </si>
  <si>
    <t>FPNS-30026</t>
  </si>
  <si>
    <t>SEBASTIÃN TERÃN</t>
  </si>
  <si>
    <t>CE-11618</t>
  </si>
  <si>
    <t>VALENTINA TERAN</t>
  </si>
  <si>
    <t>FPF-32893</t>
  </si>
  <si>
    <t>SILVIA RUIZ</t>
  </si>
  <si>
    <t>CRA29 N29 59</t>
  </si>
  <si>
    <t>silviajuliana90@gmail.com</t>
  </si>
  <si>
    <t>CB-8471</t>
  </si>
  <si>
    <t>DANIEL FELIPE GUARIN CORREDOR</t>
  </si>
  <si>
    <t>daniel.guarin@sanpedro.edu.co</t>
  </si>
  <si>
    <t>CE-11617</t>
  </si>
  <si>
    <t>DIEGO ANDRES GELVEZ ACEVEDO</t>
  </si>
  <si>
    <t>+57 311 5937889</t>
  </si>
  <si>
    <t>PENDIENTE@GMIAL.COM</t>
  </si>
  <si>
    <t>FC-65304</t>
  </si>
  <si>
    <t>KARLA YUSMARY LUZARDO PEREZ</t>
  </si>
  <si>
    <t>ciudadela</t>
  </si>
  <si>
    <t>luzar2karla@gmail.com</t>
  </si>
  <si>
    <t>FP-33820</t>
  </si>
  <si>
    <t>GENIS ESTUPIÃ‘AN DUARTE</t>
  </si>
  <si>
    <t>cra 22 cna cll 102-06</t>
  </si>
  <si>
    <t>gcde.21@gmail.com</t>
  </si>
  <si>
    <t>FPP-26587</t>
  </si>
  <si>
    <t>HECTOR ANDRES MENDOZA TARAZONA</t>
  </si>
  <si>
    <t>CARR 15 C # 3-52 SAN CRISTOBAL</t>
  </si>
  <si>
    <t>andresmendoza870822@gmail.com</t>
  </si>
  <si>
    <t>FPF-32878</t>
  </si>
  <si>
    <t>KAREM VIVIANA NARANJO PINZON</t>
  </si>
  <si>
    <t>calle 26#12a 10 urbanizacion renmas</t>
  </si>
  <si>
    <t>vivinaranjo0211@gmail.com</t>
  </si>
  <si>
    <t>FP-33819</t>
  </si>
  <si>
    <t>LAURA JULIANA BALLESTEROS AMADO</t>
  </si>
  <si>
    <t>carrera</t>
  </si>
  <si>
    <t>laurajulianaballesteros@gmail.com</t>
  </si>
  <si>
    <t>CB-8461</t>
  </si>
  <si>
    <t>FLOR MARIA RODRIGUEZ SARMIENTO</t>
  </si>
  <si>
    <t>CRA 45 64A-76 LA FLORESTA</t>
  </si>
  <si>
    <t>leathmanandpairs@gmail.com</t>
  </si>
  <si>
    <t>PR-1270</t>
  </si>
  <si>
    <t>ANDRES SERRANO</t>
  </si>
  <si>
    <t>CLL 36 # 35 - 13</t>
  </si>
  <si>
    <t>andres.serrano123.serrano@gmail.com</t>
  </si>
  <si>
    <t>CE-11587</t>
  </si>
  <si>
    <t>ANYELO RODRIGUEZ</t>
  </si>
  <si>
    <t>Calle 8cn#3a-40</t>
  </si>
  <si>
    <t>ajrp2001@outlook.com</t>
  </si>
  <si>
    <t>PR-1276</t>
  </si>
  <si>
    <t>SILVIA JULIANA PINEDA LIZCANO</t>
  </si>
  <si>
    <t>silviju15@gmail.com</t>
  </si>
  <si>
    <t>PR-1272</t>
  </si>
  <si>
    <t>EVELYN TATIANA JIMENEZ MARIN</t>
  </si>
  <si>
    <t>PTE</t>
  </si>
  <si>
    <t>em814692@gmail.com</t>
  </si>
  <si>
    <t>PR-1277</t>
  </si>
  <si>
    <t>OSCAR SNEIDER GALVIS PRADA</t>
  </si>
  <si>
    <t>CRA62 N 16 28</t>
  </si>
  <si>
    <t>oscarpradabga@gmail.com</t>
  </si>
  <si>
    <t>FPNS-30023</t>
  </si>
  <si>
    <t>LILIANA RESTREPO POLENTINO</t>
  </si>
  <si>
    <t>notiene@gmil.com</t>
  </si>
  <si>
    <t>CE-11592</t>
  </si>
  <si>
    <t>FRISLEYBY IDALY PRADA GRANDA</t>
  </si>
  <si>
    <t>ceiba 2</t>
  </si>
  <si>
    <t>314 5352230</t>
  </si>
  <si>
    <t>leidy_9563@live.com.ar</t>
  </si>
  <si>
    <t>NEFER VALENCIA</t>
  </si>
  <si>
    <t>Carrera 16 a 1 b 15</t>
  </si>
  <si>
    <t>navalencia0401@outlook.com</t>
  </si>
  <si>
    <t>FPP-26578</t>
  </si>
  <si>
    <t>JOSELYN ROXANA GONZALEZ ZURITA</t>
  </si>
  <si>
    <t>FPNS-29988</t>
  </si>
  <si>
    <t>BRANDON GÃ“MEZ CORTÃ‰S</t>
  </si>
  <si>
    <t>Calle 22N #4-36 Tasajero</t>
  </si>
  <si>
    <t>brandon.gc3.bg@gmail.com</t>
  </si>
  <si>
    <t>FPP-26577</t>
  </si>
  <si>
    <t>DANIEL DAVID LANDAZABAL CABALLERO</t>
  </si>
  <si>
    <t>floridablanca</t>
  </si>
  <si>
    <t>ddlc141@gmail.com</t>
  </si>
  <si>
    <t>FPNS-29980</t>
  </si>
  <si>
    <t>LUIS CHACÃ“N</t>
  </si>
  <si>
    <t>calle 21 #3-59 Garcia Herreros</t>
  </si>
  <si>
    <t>lschacongelvez@gmail.com</t>
  </si>
  <si>
    <t>FC-65273</t>
  </si>
  <si>
    <t>KELLY JOHANA SOTO VANEGAS</t>
  </si>
  <si>
    <t>kellyjsv796@gmail.com</t>
  </si>
  <si>
    <t>FP-33802</t>
  </si>
  <si>
    <t>KAREN JULIETH DUEÃ‘EZ MORALES</t>
  </si>
  <si>
    <t>cojunto ventura torre 2 apto 1509</t>
  </si>
  <si>
    <t>jullduenez2022@gmail.com</t>
  </si>
  <si>
    <t>CE-11569</t>
  </si>
  <si>
    <t>LIZETH PAOLA DAZA QUINTERO</t>
  </si>
  <si>
    <t>PENDIENTENUEVO@GMAIL.COM</t>
  </si>
  <si>
    <t>FPF-32869</t>
  </si>
  <si>
    <t>CRISTIAN CAMILO CORREA TORRES</t>
  </si>
  <si>
    <t>FP-33794</t>
  </si>
  <si>
    <t>ANDREA HERRERA</t>
  </si>
  <si>
    <t>BELLA VISTA</t>
  </si>
  <si>
    <t>perezmelissagonzalez@gmail.com</t>
  </si>
  <si>
    <t>FP-33785</t>
  </si>
  <si>
    <t>ANDRES JOSE SANCHEZ</t>
  </si>
  <si>
    <t>andresjosesanchezhernandez92@gmail.com</t>
  </si>
  <si>
    <t>CB-8431</t>
  </si>
  <si>
    <t>LEIDIY CAROLINA CARVAJAL PUERTO</t>
  </si>
  <si>
    <t>FLORIDA</t>
  </si>
  <si>
    <t>Caro152012@hotmail.com</t>
  </si>
  <si>
    <t>FP-33782</t>
  </si>
  <si>
    <t>DEISY JOHANNA NIETO</t>
  </si>
  <si>
    <t>calle 107 # 23B - 69 apto 501 provenza</t>
  </si>
  <si>
    <t>deisssyn16@hotmail.com</t>
  </si>
  <si>
    <t>FPNS-29961</t>
  </si>
  <si>
    <t>EDINSON ORLANDO MONCADA CORONEL</t>
  </si>
  <si>
    <t>calle 15a # 4-29 Garcia Herreros</t>
  </si>
  <si>
    <t>318 3963534</t>
  </si>
  <si>
    <t>edinsonmoncada19@gmail.com</t>
  </si>
  <si>
    <t>FP-33788</t>
  </si>
  <si>
    <t>JAVIER ALIRIO CARVAJAL QUINTANA</t>
  </si>
  <si>
    <t>FPF-32842</t>
  </si>
  <si>
    <t>BRAYAN DANIEL CORONEL RODRIGUEZ</t>
  </si>
  <si>
    <t>san francisco</t>
  </si>
  <si>
    <t>314 2510454</t>
  </si>
  <si>
    <t>bradacoro@gmail.com</t>
  </si>
  <si>
    <t>FP-33784</t>
  </si>
  <si>
    <t>VALENTINA ROSADO ZULUAGA</t>
  </si>
  <si>
    <t>valentinarosado1304va@gmail.com</t>
  </si>
  <si>
    <t>FC-65255</t>
  </si>
  <si>
    <t>VANESSA VALENTINA PRIETO SOLER</t>
  </si>
  <si>
    <t>valentina17231723@gmail.com</t>
  </si>
  <si>
    <t>CE-11553</t>
  </si>
  <si>
    <t>ANGIE LORENA CASTILLO SUAREZ</t>
  </si>
  <si>
    <t>PRADO</t>
  </si>
  <si>
    <t>311 7638518</t>
  </si>
  <si>
    <t>FPF-32851</t>
  </si>
  <si>
    <t>GREYDI MELLISA PEREZ FLOREZ</t>
  </si>
  <si>
    <t>caÃ±averal</t>
  </si>
  <si>
    <t>greimeliperezflorez@gmail.com</t>
  </si>
  <si>
    <t>CE-11528</t>
  </si>
  <si>
    <t>JEAMPIER CAMILO ARIAS CASTELLANOS</t>
  </si>
  <si>
    <t>Ariascastellanos@gmail.com</t>
  </si>
  <si>
    <t>CE-11526</t>
  </si>
  <si>
    <t>TOMAS CASTAÃ‘O AVENDAÃ‘O</t>
  </si>
  <si>
    <t>tcastano037@GMAIL.COM</t>
  </si>
  <si>
    <t>FPP-26564</t>
  </si>
  <si>
    <t>EDDY JULIETH GARCIA MENDIVELSO</t>
  </si>
  <si>
    <t>yuyed@hotmail.com</t>
  </si>
  <si>
    <t>FPF-32852</t>
  </si>
  <si>
    <t>YESSICA REYES</t>
  </si>
  <si>
    <t>Calle 23#12-22 ciudad valencia</t>
  </si>
  <si>
    <t>yessica_paola92@hotmail.com</t>
  </si>
  <si>
    <t>FPF-32862</t>
  </si>
  <si>
    <t>YARICELL MARTINEZ</t>
  </si>
  <si>
    <t>UrbanizaciÃ³n colon</t>
  </si>
  <si>
    <t>yaricelltatianam@gmail.com</t>
  </si>
  <si>
    <t>PR-1240</t>
  </si>
  <si>
    <t>JULIAN ALBERTO GARCIA MORENO</t>
  </si>
  <si>
    <t>julianhgarcia@gmail.com</t>
  </si>
  <si>
    <t>FP-33777</t>
  </si>
  <si>
    <t>ANDRES FELIPE RUIZ BLANCO</t>
  </si>
  <si>
    <t>provenza</t>
  </si>
  <si>
    <t>andresruiz-0698@hotmail.com</t>
  </si>
  <si>
    <t>CB-8406</t>
  </si>
  <si>
    <t>JESUS ALEJANDRO LAGUADO ACEVEDO</t>
  </si>
  <si>
    <t>Av 5N #19-24 Altos de Granada casa 09</t>
  </si>
  <si>
    <t>jesuslaguado801@gmail.com</t>
  </si>
  <si>
    <t>IVAN RAMIRO PEÃ‘A SUAREZ</t>
  </si>
  <si>
    <t>ivanramirops@gmail.com</t>
  </si>
  <si>
    <t>FP-33778</t>
  </si>
  <si>
    <t>YULY VANESSA SARMIENTO VILLA</t>
  </si>
  <si>
    <t>july29sarmiento@hotmail.com</t>
  </si>
  <si>
    <t>CB-8409</t>
  </si>
  <si>
    <t>JOSEPH GREGORY DE LOS SANTOS BASTIDAS</t>
  </si>
  <si>
    <t>josephdelosantos@gmail.com</t>
  </si>
  <si>
    <t>CE-11515</t>
  </si>
  <si>
    <t>KEVIN NICOLÃS KEVIN NICOLÃS ORTEGA MALPICA</t>
  </si>
  <si>
    <t>Calle 1b 2-14 edificio Torres de Santa InÃ©s Apartamento 303 Torre C</t>
  </si>
  <si>
    <t>Nicolasmalpica@gmail.com</t>
  </si>
  <si>
    <t>FPNS-29940</t>
  </si>
  <si>
    <t>SOPHIE LOPEZ PARRA</t>
  </si>
  <si>
    <t>lopezparrasophie@gmail.com</t>
  </si>
  <si>
    <t>SAMIR ALI ALBERTZI</t>
  </si>
  <si>
    <t>samir_ali_98@hotmail.com</t>
  </si>
  <si>
    <t>CE-11516</t>
  </si>
  <si>
    <t>KAREN YURITZA MANDON BARRIOS</t>
  </si>
  <si>
    <t>AVENIDA 14 #12-43, EL CONTENTO</t>
  </si>
  <si>
    <t>CB-8405</t>
  </si>
  <si>
    <t>KATHERINE SERRANO</t>
  </si>
  <si>
    <t>Calle 94 a 33 46</t>
  </si>
  <si>
    <t>boutiqueandreaserrano@gmail.com</t>
  </si>
  <si>
    <t>FPF-32838</t>
  </si>
  <si>
    <t>GINO TAPIA BARRIOS</t>
  </si>
  <si>
    <t>ginotapiabarrios@gmail.com</t>
  </si>
  <si>
    <t>FC-65239</t>
  </si>
  <si>
    <t>MICHAEL LEONARDO MONTAÃ‘EZ BAUTISTA</t>
  </si>
  <si>
    <t>SECT 9 BLOQUE 1410 APTO 102 BUCARICA</t>
  </si>
  <si>
    <t>michaellmb21@gmail.com</t>
  </si>
  <si>
    <t>CB-8399</t>
  </si>
  <si>
    <t>PAOLA ANDREA FLOREZ GAMBOA</t>
  </si>
  <si>
    <t>andrwflorez12@gmail.com</t>
  </si>
  <si>
    <t>CB-8398</t>
  </si>
  <si>
    <t>JUAN DAVID MONTOYA CARREÃ‘O</t>
  </si>
  <si>
    <t>315 3967917</t>
  </si>
  <si>
    <t>notiene@hotmail.com</t>
  </si>
  <si>
    <t>CE-11500</t>
  </si>
  <si>
    <t>LUIS FERNANDO GARCIA RINCON</t>
  </si>
  <si>
    <t>pentiende@gmail.com</t>
  </si>
  <si>
    <t>CE-11511</t>
  </si>
  <si>
    <t>BRAYAN STIVEN RODRIGUEZ RODRIGUEZ</t>
  </si>
  <si>
    <t>CALLE 9An # 3 - 16 BARRIO EL BOSQUE</t>
  </si>
  <si>
    <t>brayansrodrig@gmail.com</t>
  </si>
  <si>
    <t>CE-11502</t>
  </si>
  <si>
    <t>LAURA YAIRINA CUEVAS QUIJANO</t>
  </si>
  <si>
    <t>FPF-32824</t>
  </si>
  <si>
    <t>CLAUDIA AZUCENA HURTADO ANAYA</t>
  </si>
  <si>
    <t>CRA 24 #35 95 ALTOS DE CAÃ‘AVERAL 4 ETAPA BLOQ 5 APTO 401</t>
  </si>
  <si>
    <t>CLAUDIAHURTADO197@GMAIL.COM</t>
  </si>
  <si>
    <t>PR-1224</t>
  </si>
  <si>
    <t>YERSON EDUARDO JURADO DIAZ</t>
  </si>
  <si>
    <t>316 0810229</t>
  </si>
  <si>
    <t>dyerson827@gmail.com</t>
  </si>
  <si>
    <t>FPF-32822</t>
  </si>
  <si>
    <t>LINEY CAMILA TOVAR CUBIDES</t>
  </si>
  <si>
    <t>Calle 16 #29-19</t>
  </si>
  <si>
    <t>Camila98tovar@gmail.com</t>
  </si>
  <si>
    <t>FPF-32823</t>
  </si>
  <si>
    <t>ZAAMIR REINALDO MONTILLA RODRÃGUEZ</t>
  </si>
  <si>
    <t>diag 16 #17-53</t>
  </si>
  <si>
    <t>zaamir1999@gmail.com</t>
  </si>
  <si>
    <t>FPF-32833</t>
  </si>
  <si>
    <t>ANGIE LOZANO</t>
  </si>
  <si>
    <t>Diagonal 23 # 29 - 12</t>
  </si>
  <si>
    <t>cristinangie09@gmail.com</t>
  </si>
  <si>
    <t>JUAN JOSE BAUTISTA MANTILLA</t>
  </si>
  <si>
    <t>juanjise073@gmail.com</t>
  </si>
  <si>
    <t>FPP-26556</t>
  </si>
  <si>
    <t>CRISTIAN CAMILO CANDANOZA</t>
  </si>
  <si>
    <t>cristiancandanoza0@gmail.com</t>
  </si>
  <si>
    <t>FPNS-29917</t>
  </si>
  <si>
    <t>MIGUEL GAITÃN</t>
  </si>
  <si>
    <t>Anillo vial oriental conjunto Sanara House casa D43</t>
  </si>
  <si>
    <t>magh.2743@gmail.com</t>
  </si>
  <si>
    <t>PR-1225</t>
  </si>
  <si>
    <t>YOAN SEVASTIAN DUARTE VILA</t>
  </si>
  <si>
    <t>morrorico</t>
  </si>
  <si>
    <t>johanduartevila586@gmail.com</t>
  </si>
  <si>
    <t>FPNS-29914</t>
  </si>
  <si>
    <t>CESAR VELEZ</t>
  </si>
  <si>
    <t>conjunto madeira casa a 31</t>
  </si>
  <si>
    <t>velezcesar23@hotmail.com</t>
  </si>
  <si>
    <t>FPNS-29916</t>
  </si>
  <si>
    <t>LEIDY FIALLO</t>
  </si>
  <si>
    <t>conjunto madeira casa a31</t>
  </si>
  <si>
    <t>fiallol@hotmail.com</t>
  </si>
  <si>
    <t>PR-1231</t>
  </si>
  <si>
    <t>JOICE ZAREEL ARAUJO BERMUDEZ</t>
  </si>
  <si>
    <t>edificio bonaire</t>
  </si>
  <si>
    <t>Joice_araujo06@outlook.com</t>
  </si>
  <si>
    <t>CB-8404</t>
  </si>
  <si>
    <t>JUAN RUIZ</t>
  </si>
  <si>
    <t>CR 13 #54-05</t>
  </si>
  <si>
    <t>struens12@gmail.com</t>
  </si>
  <si>
    <t>FPNS-29903</t>
  </si>
  <si>
    <t>MARIA FERNANDA TORRES FLOREZ</t>
  </si>
  <si>
    <t>LA LIBERTAD</t>
  </si>
  <si>
    <t>MAFERFLOREZ05@HOTMAIL.COM</t>
  </si>
  <si>
    <t>FPNS-29893</t>
  </si>
  <si>
    <t>EDUARDO DIAZ</t>
  </si>
  <si>
    <t>Cll 21 n - 4 - 139 barrio prados norte</t>
  </si>
  <si>
    <t>stivend891@gmail.com</t>
  </si>
  <si>
    <t>FPNS-29895</t>
  </si>
  <si>
    <t>DANIELA ANDREA CONTRERAS VELANDIA</t>
  </si>
  <si>
    <t>Calle 22 an #2-79</t>
  </si>
  <si>
    <t>dvcontreras26@gmail.com</t>
  </si>
  <si>
    <t>FPNS-29894</t>
  </si>
  <si>
    <t>ALEJANDRO HERNÃNDEZ</t>
  </si>
  <si>
    <t>Av 6B#4-21 Prados del este</t>
  </si>
  <si>
    <t>hernandezcalderonalejandro@gmail.com</t>
  </si>
  <si>
    <t>CE-11480</t>
  </si>
  <si>
    <t>DANIEL BAENA PADILLA</t>
  </si>
  <si>
    <t>Calle 5 # 0-58 trigal del norte</t>
  </si>
  <si>
    <t>danielbaenapadilla@gmail.com</t>
  </si>
  <si>
    <t>JUAN GÃ“MEZ EUGENIO</t>
  </si>
  <si>
    <t>CR 7 No. 7 N08 JUNIN 1</t>
  </si>
  <si>
    <t>juangomezeugenio78@gmail.com</t>
  </si>
  <si>
    <t>FPP-26550</t>
  </si>
  <si>
    <t>YULI DANIELA SANDOVAL DIAZ</t>
  </si>
  <si>
    <t>YULISANDOVALD@GMAIL.COM</t>
  </si>
  <si>
    <t>FPP-26547</t>
  </si>
  <si>
    <t>ADRIANA GIL</t>
  </si>
  <si>
    <t>JUN</t>
  </si>
  <si>
    <t>darianagil24@gmail.com</t>
  </si>
  <si>
    <t>FPF-32805</t>
  </si>
  <si>
    <t>LEANDRO ANDRE SERRANO RINCON</t>
  </si>
  <si>
    <t>CLL 115 #22-67</t>
  </si>
  <si>
    <t>leandrowsky1988@gmail.com</t>
  </si>
  <si>
    <t>FPF-32808</t>
  </si>
  <si>
    <t>ALYSSON JEREZ</t>
  </si>
  <si>
    <t>TV 154 157a 40 To 3 Ap 303</t>
  </si>
  <si>
    <t>alisonjerez14@gmail.com</t>
  </si>
  <si>
    <t>FPF-32806</t>
  </si>
  <si>
    <t>DAYANA YULIETH BARBOSA MARTINEZ</t>
  </si>
  <si>
    <t>dayanabarbosa45@gmail.com</t>
  </si>
  <si>
    <t>CE-11474</t>
  </si>
  <si>
    <t>CRISTIAN ANDRÃ‰S JAIMES RINCON</t>
  </si>
  <si>
    <t>andres_jr23@hotmail.com</t>
  </si>
  <si>
    <t>FPF-32795</t>
  </si>
  <si>
    <t>OSCAR ANDRES POMBO RIVERA</t>
  </si>
  <si>
    <t>Oscar.pombo34@gmail.com</t>
  </si>
  <si>
    <t>FPF-32796</t>
  </si>
  <si>
    <t>MANUEL ALEJANDRO PEREZ CONTRERAS</t>
  </si>
  <si>
    <t>VENEZUELA</t>
  </si>
  <si>
    <t>ALEJANDROCONTRERAS1932@GMAIL.COM</t>
  </si>
  <si>
    <t>FPF-32797</t>
  </si>
  <si>
    <t>DIANA PAOLA RIVERA PEREZ</t>
  </si>
  <si>
    <t>diana_pao85@outlook.com</t>
  </si>
  <si>
    <t>FC-65213</t>
  </si>
  <si>
    <t>WILYER ALEXIS LUCAS MENDOZA</t>
  </si>
  <si>
    <t>wilyerlucasmemdoza132@outlook.com</t>
  </si>
  <si>
    <t>CB-8389</t>
  </si>
  <si>
    <t>MARIA PAULA MENESES CORDON</t>
  </si>
  <si>
    <t>paulamenesesc26@outlook.com</t>
  </si>
  <si>
    <t>CB-8388</t>
  </si>
  <si>
    <t>ISABEL VALDIVIESO</t>
  </si>
  <si>
    <t>Calle 41 38 65 apto 1702 torre 2</t>
  </si>
  <si>
    <t>izavaldiviesojoyas@gmail.com</t>
  </si>
  <si>
    <t>PR-1199</t>
  </si>
  <si>
    <t>SILVIA JULIANA ALARCON CASTILLO</t>
  </si>
  <si>
    <t>castillosilvia0927@gmail.com</t>
  </si>
  <si>
    <t>PR-1210</t>
  </si>
  <si>
    <t>GERARD JESUS SUAREZ SANTAMARIA</t>
  </si>
  <si>
    <t>322 5976125</t>
  </si>
  <si>
    <t>gjsusrez0@gmail.com</t>
  </si>
  <si>
    <t>FC-65201</t>
  </si>
  <si>
    <t>EDWIN SANTIAGO CACUA BAEZ</t>
  </si>
  <si>
    <t>CRA 1RA 65 BE</t>
  </si>
  <si>
    <t>edwincacua560@gmail.com</t>
  </si>
  <si>
    <t>FEDERICO TRIANA OCHOA</t>
  </si>
  <si>
    <t>FEDERICOTRIANA91@GMAIL.COM</t>
  </si>
  <si>
    <t>FPNS-29879</t>
  </si>
  <si>
    <t>BRIAN LEONARDO ANGULO TELLEZ</t>
  </si>
  <si>
    <t>Cll 1 14-09 Urb Canafistolo</t>
  </si>
  <si>
    <t>leoangulotellez@gmail.com</t>
  </si>
  <si>
    <t>LESLY VALENTINA PINZON PALOMINO</t>
  </si>
  <si>
    <t>DELACUESTA</t>
  </si>
  <si>
    <t>LESLYEVALENTINA4@GMAIL.COM</t>
  </si>
  <si>
    <t>PR-1197</t>
  </si>
  <si>
    <t>YESICA DAYANA MURILLO ROZO</t>
  </si>
  <si>
    <t>Cra 36 #35-36</t>
  </si>
  <si>
    <t>dayam2227@gmail.com</t>
  </si>
  <si>
    <t>FPP-26533</t>
  </si>
  <si>
    <t>LEZLY ANDREA ORDOÃ‘EZ TORRES</t>
  </si>
  <si>
    <t>calle 8N #4-150 Portal de Santillan</t>
  </si>
  <si>
    <t>andreaot49@gmail.com</t>
  </si>
  <si>
    <t>CB-8368</t>
  </si>
  <si>
    <t>ESTEBAN ANDRES MANTILLA CARRASCAL</t>
  </si>
  <si>
    <t>calle 22 # 16 -07</t>
  </si>
  <si>
    <t>estemantillacar@gmail.com</t>
  </si>
  <si>
    <t>CE-11446</t>
  </si>
  <si>
    <t>DIEGO EDSON URIBE SALAZAR</t>
  </si>
  <si>
    <t>Diego042024@gmail.com</t>
  </si>
  <si>
    <t>CE-11445</t>
  </si>
  <si>
    <t>MARIANH CAROLAY TORRES TELLEZ</t>
  </si>
  <si>
    <t>Torrescarolay64@gmail.com</t>
  </si>
  <si>
    <t>PR-1188</t>
  </si>
  <si>
    <t>DAVID SANTIAGO ACOSTA BUENO</t>
  </si>
  <si>
    <t>davodsab20@gmail.com</t>
  </si>
  <si>
    <t>MARIA JOSE SANCHEZ HEREDIA</t>
  </si>
  <si>
    <t>Carrera 3B #2N -12 Barrio el refugio</t>
  </si>
  <si>
    <t>mariajose120728@gmail.com</t>
  </si>
  <si>
    <t>CE-11436</t>
  </si>
  <si>
    <t>LUISA FERNANDA HENAO ARIAS</t>
  </si>
  <si>
    <t>reservas de san luis</t>
  </si>
  <si>
    <t>310 6672945</t>
  </si>
  <si>
    <t>henaoluisa09@gmail.com</t>
  </si>
  <si>
    <t>FPNS-29866</t>
  </si>
  <si>
    <t>MARIA DE LOS ANGELES SAYAGO CORDERO</t>
  </si>
  <si>
    <t>mariasayagoc17@gmail.com</t>
  </si>
  <si>
    <t>FPNS-29860</t>
  </si>
  <si>
    <t>INGRID YULIANI CONTRERAS ATUESTA</t>
  </si>
  <si>
    <t>Calle 13 #2-30 GarcÃ­a herreros 2 etapa</t>
  </si>
  <si>
    <t>yulianiatuesta@gmail.com</t>
  </si>
  <si>
    <t>FPF-32770</t>
  </si>
  <si>
    <t>EDWIN RODRÃGUEZ</t>
  </si>
  <si>
    <t>Cra23c#53-38</t>
  </si>
  <si>
    <t>edwinmatiz10@gmail.com</t>
  </si>
  <si>
    <t>CB-8361</t>
  </si>
  <si>
    <t>SIRLEY ARDILA</t>
  </si>
  <si>
    <t>KR 61 # 144 - 14 BR EL CARMEN BR EL CARMEN I</t>
  </si>
  <si>
    <t>ardilabautistasirley@gmail.com</t>
  </si>
  <si>
    <t>FPNS-29854</t>
  </si>
  <si>
    <t>MARIANA HERRERA</t>
  </si>
  <si>
    <t>Cll 4 #11 B34 urbanizaciÃ³n san martin</t>
  </si>
  <si>
    <t>mariana.h.r1405@gmail.com</t>
  </si>
  <si>
    <t>CE-11430</t>
  </si>
  <si>
    <t>PAOLA KARINA ALMEIDA SANTOS</t>
  </si>
  <si>
    <t>ASTURIAS CASA C3</t>
  </si>
  <si>
    <t>PKASS_91@HOTMAIL.COM</t>
  </si>
  <si>
    <t>CB-8352</t>
  </si>
  <si>
    <t>NICOLAS MURILLO</t>
  </si>
  <si>
    <t>Cra 35a #51-82</t>
  </si>
  <si>
    <t>nicolasfoxin@gmail.com</t>
  </si>
  <si>
    <t>CB-8351</t>
  </si>
  <si>
    <t>YORGUIN SANTIAGO TORRES RINCON</t>
  </si>
  <si>
    <t>REAL DE MINAS</t>
  </si>
  <si>
    <t>santis30907@gmail.com</t>
  </si>
  <si>
    <t>PR-1177</t>
  </si>
  <si>
    <t>YEIMY YULIETH RODRIGUEZ ALMENDRALES</t>
  </si>
  <si>
    <t>yeialmendrales97@gmail.com</t>
  </si>
  <si>
    <t>CB-8350</t>
  </si>
  <si>
    <t>JHON JAIRO CALDERON PAEZ</t>
  </si>
  <si>
    <t>322 8485805</t>
  </si>
  <si>
    <t>jhoncalderon786@gmail.com</t>
  </si>
  <si>
    <t>FPNS-29848</t>
  </si>
  <si>
    <t>MICHELLE CASTAÃ‘O</t>
  </si>
  <si>
    <t>aeropuerto</t>
  </si>
  <si>
    <t>CB-8347</t>
  </si>
  <si>
    <t>GEORGE SEBASTIAN SANTOS RINCON</t>
  </si>
  <si>
    <t>+57 315 8013119</t>
  </si>
  <si>
    <t>georgesantos0714@gmail.com</t>
  </si>
  <si>
    <t>FPF-32756</t>
  </si>
  <si>
    <t>MOISES IGUARAN</t>
  </si>
  <si>
    <t>Carrera 21 #19-63</t>
  </si>
  <si>
    <t>iguaranmoises2@gmail.com</t>
  </si>
  <si>
    <t>FPNS-29832</t>
  </si>
  <si>
    <t>JUAN SECO</t>
  </si>
  <si>
    <t>juandavidsecorodriguez@gmail.com</t>
  </si>
  <si>
    <t>FPNS-29831</t>
  </si>
  <si>
    <t>BRAYAN CAMILO DAVILA LAINO</t>
  </si>
  <si>
    <t>AV 8 #11-46 , CONJUNTO CERRADO VENTUS TORRE 5 APTO 704 , BARRIO PRADOS DEL ESTE</t>
  </si>
  <si>
    <t>davilabrayan385@gmail.com</t>
  </si>
  <si>
    <t>CB-8338</t>
  </si>
  <si>
    <t>CLARIBETH CLARO ASCANIO</t>
  </si>
  <si>
    <t>+57 315 2883248</t>
  </si>
  <si>
    <t>terapeutaclaribethclaro@gmail.com</t>
  </si>
  <si>
    <t>CB-8335</t>
  </si>
  <si>
    <t>JHOAN JOSE TOLEDO VERA</t>
  </si>
  <si>
    <t>Torre Ã‰lite Condominio - Bucaramanga</t>
  </si>
  <si>
    <t>Jjosetoledo1991@gmail.com</t>
  </si>
  <si>
    <t>LUIS GERARDO RUEDA GUERRERO</t>
  </si>
  <si>
    <t>lgrueda91@gmail.com</t>
  </si>
  <si>
    <t>FPNS-29821</t>
  </si>
  <si>
    <t>GRECIA ESTEFANIA VALENCIA GONZALEZ</t>
  </si>
  <si>
    <t>310 7728506</t>
  </si>
  <si>
    <t>greciavalenci@gmail.com</t>
  </si>
  <si>
    <t>FC-65154</t>
  </si>
  <si>
    <t>JOSE SAAVEDRA</t>
  </si>
  <si>
    <t>calle 35 No 12-31 oficina 506</t>
  </si>
  <si>
    <t>sebas_7804@hotmail.com</t>
  </si>
  <si>
    <t>FC-65153</t>
  </si>
  <si>
    <t>SONIA CRISTINA GELVEZ JAIMES</t>
  </si>
  <si>
    <t>SAMANES 1 TORRE 5 APTO504</t>
  </si>
  <si>
    <t>soniacris191@outlook.com</t>
  </si>
  <si>
    <t>FP-33726</t>
  </si>
  <si>
    <t>DIEGO ALEJANDRO AZUERO MORENO</t>
  </si>
  <si>
    <t>diegoazueromoreno@gmail.com</t>
  </si>
  <si>
    <t>CE-11401</t>
  </si>
  <si>
    <t>MIGUEL ANGEL ARDILA RIOS</t>
  </si>
  <si>
    <t>Conjunto cerrado Altagracia</t>
  </si>
  <si>
    <t>miguel28032912@icloutd.com</t>
  </si>
  <si>
    <t>CE-11400</t>
  </si>
  <si>
    <t>DANNA GABRIELA ROJAS ROJAS</t>
  </si>
  <si>
    <t>dannarojasx1@gmail.com</t>
  </si>
  <si>
    <t>FPNS-29815</t>
  </si>
  <si>
    <t>LUIS QUINTANA</t>
  </si>
  <si>
    <t>Dg 5 #9-75 cond. guayacan</t>
  </si>
  <si>
    <t>ferchohenao115@gmail.com</t>
  </si>
  <si>
    <t>PR-1168</t>
  </si>
  <si>
    <t>MARILYN DAJANA CADENA PRADA</t>
  </si>
  <si>
    <t>dajanacadena-1995@hotmail.com</t>
  </si>
  <si>
    <t>FP-33722</t>
  </si>
  <si>
    <t>KIARA SILENA SABINO GARCIA</t>
  </si>
  <si>
    <t>calle 105# 24-27</t>
  </si>
  <si>
    <t>k.sabino.g@gmail.com</t>
  </si>
  <si>
    <t>FC-65149</t>
  </si>
  <si>
    <t>JHEILIS ANDREA QUINTANA GALVIS</t>
  </si>
  <si>
    <t>CALLE 56 # 7 W - 101</t>
  </si>
  <si>
    <t>jheilisandreaquintana@gmail.com</t>
  </si>
  <si>
    <t>FP-33721</t>
  </si>
  <si>
    <t>YENNY PAOLA GONZALEZ DIETES</t>
  </si>
  <si>
    <t>direccion</t>
  </si>
  <si>
    <t>Ypaolagonzalez2@gmail.com</t>
  </si>
  <si>
    <t>FC-65147</t>
  </si>
  <si>
    <t>IVONNE ANDREA RUEDA VASQUEZ</t>
  </si>
  <si>
    <t>CR 3 N63-60 LOS NARANJOS</t>
  </si>
  <si>
    <t>andrearueda127@gmail.com</t>
  </si>
  <si>
    <t>FPNS-29804</t>
  </si>
  <si>
    <t>TATIANA MARTINEZ</t>
  </si>
  <si>
    <t>Callejas torres prados del este</t>
  </si>
  <si>
    <t>tatianawilches17@gmail.com</t>
  </si>
  <si>
    <t>FPF-32735</t>
  </si>
  <si>
    <t>MELISSA Å¸VARGAS ALVAREZ</t>
  </si>
  <si>
    <t>boulevard</t>
  </si>
  <si>
    <t>geomelivargas10@gmail.com</t>
  </si>
  <si>
    <t>FPNS-29786</t>
  </si>
  <si>
    <t>NICOLAS MAFLA MAFLA CHACON</t>
  </si>
  <si>
    <t>nico.mafla.chacon1@gmail.com</t>
  </si>
  <si>
    <t>CB-8306</t>
  </si>
  <si>
    <t>ANGIE STEFANIA QUIJANO PLATA</t>
  </si>
  <si>
    <t>Calle 6b#42-48 San bernardo</t>
  </si>
  <si>
    <t>angie.stefaniap@gmail.com</t>
  </si>
  <si>
    <t>PR-1148</t>
  </si>
  <si>
    <t>JOSE MANUEL BERMUDEZ QUINTERO</t>
  </si>
  <si>
    <t>manu2312manu@outlook.com</t>
  </si>
  <si>
    <t>FPF-32716</t>
  </si>
  <si>
    <t>LAURA REDONDO</t>
  </si>
  <si>
    <t>lauraredondog1@gmail.com</t>
  </si>
  <si>
    <t>CE-11347</t>
  </si>
  <si>
    <t>ADRIANA PAOLA REAL CHAVARRO</t>
  </si>
  <si>
    <t>adris1126@hotmail.com</t>
  </si>
  <si>
    <t>PR-1142</t>
  </si>
  <si>
    <t>LUZ SERRANO</t>
  </si>
  <si>
    <t>Calle 36 # 35 - 13</t>
  </si>
  <si>
    <t>luz.se@hotmail.com</t>
  </si>
  <si>
    <t>CB-8297</t>
  </si>
  <si>
    <t>JULIETH VILLAMIZAR</t>
  </si>
  <si>
    <t>Cll 14 #11 - 52</t>
  </si>
  <si>
    <t>yulipdcdesv@gmail.com</t>
  </si>
  <si>
    <t>FPP-26494</t>
  </si>
  <si>
    <t>NAZLY ADRIANA VISBAL FONSECA</t>
  </si>
  <si>
    <t>316 6038564</t>
  </si>
  <si>
    <t>nazly20-08@hotmail.com</t>
  </si>
  <si>
    <t>CE-11340</t>
  </si>
  <si>
    <t>JHOAN CUNCANCHUN</t>
  </si>
  <si>
    <t>MAZANA 7 CASA 28</t>
  </si>
  <si>
    <t>andrescuncanchun@gmail.com</t>
  </si>
  <si>
    <t>15 AÃ‘OS ANIVERSARIO</t>
  </si>
  <si>
    <t>PAGOS ON LINE / CLEZ PAY-750000.00</t>
  </si>
  <si>
    <t>FPF-32709</t>
  </si>
  <si>
    <t>MICHELL KATHERINE SOLANO GELVEZ</t>
  </si>
  <si>
    <t>kgelvez2002@gmail.com</t>
  </si>
  <si>
    <t>CE-11338</t>
  </si>
  <si>
    <t>CRISTHIAN MANUEL TARAZONA VILLEGAS</t>
  </si>
  <si>
    <t>cristhiantv2018@gmail.com</t>
  </si>
  <si>
    <t>CB-8293</t>
  </si>
  <si>
    <t>LEONARD DAVID GARCIA BARRERA</t>
  </si>
  <si>
    <t>CALLE 22#24-59</t>
  </si>
  <si>
    <t>LEONARDG363@GMAIL.COM</t>
  </si>
  <si>
    <t>FPP-26490</t>
  </si>
  <si>
    <t>MARILYN SMITH SUAREZ MUÃ‘OZ</t>
  </si>
  <si>
    <t>JUNIN CLL 7 AN 8.23 APTO 401</t>
  </si>
  <si>
    <t>suarez9607@hotmail.es</t>
  </si>
  <si>
    <t>CB-8290</t>
  </si>
  <si>
    <t>ANDRES LOPEZ</t>
  </si>
  <si>
    <t>anillo vial #24-204</t>
  </si>
  <si>
    <t>andresjlolparra@gmail.com</t>
  </si>
  <si>
    <t>CE-11330</t>
  </si>
  <si>
    <t>VANLLY NATALY PEDRAZA</t>
  </si>
  <si>
    <t>ANGIE FUERTES</t>
  </si>
  <si>
    <t>Carrera 3W #8N-265 La Vega de San Roque</t>
  </si>
  <si>
    <t>angiepaolafuertesguerrero@gmail.com</t>
  </si>
  <si>
    <t>IdAfiliado</t>
  </si>
  <si>
    <t>DocumentoAfiliado</t>
  </si>
  <si>
    <t>idTipoDocumento</t>
  </si>
  <si>
    <t>NombreAfiliado</t>
  </si>
  <si>
    <t>ApellidoAfiliado</t>
  </si>
  <si>
    <t>CelularAfiliado</t>
  </si>
  <si>
    <t>EmailAfiliado</t>
  </si>
  <si>
    <t>ClaveAfiliado</t>
  </si>
  <si>
    <t>DireccionAfiliado</t>
  </si>
  <si>
    <t>idCiudadAfiliado</t>
  </si>
  <si>
    <t>FechaNacAfiliado</t>
  </si>
  <si>
    <t>FotoAfiliado</t>
  </si>
  <si>
    <t>idGenero</t>
  </si>
  <si>
    <t>idSede</t>
  </si>
  <si>
    <t>idEstadoCivilAfiliado</t>
  </si>
  <si>
    <t>idEmpresaAfil</t>
  </si>
  <si>
    <t>idProfesion</t>
  </si>
  <si>
    <t>idEPS</t>
  </si>
  <si>
    <t>ResponsableAfiliado</t>
  </si>
  <si>
    <t>Parentesco</t>
  </si>
  <si>
    <t>ContactoAfiliado</t>
  </si>
  <si>
    <t>idUsuario</t>
  </si>
  <si>
    <t>EstadoAfiliado</t>
  </si>
  <si>
    <t>FechaAfiliacion</t>
  </si>
  <si>
    <t>ProcesoActFecNac</t>
  </si>
  <si>
    <t>ObservacionesParQ</t>
  </si>
  <si>
    <t xml:space="preserve">Daniel Felipe </t>
  </si>
  <si>
    <t xml:space="preserve">Quijano Dominguez </t>
  </si>
  <si>
    <t>\N</t>
  </si>
  <si>
    <t>1</t>
  </si>
  <si>
    <t>Pendiente</t>
  </si>
  <si>
    <t>VALENTINA</t>
  </si>
  <si>
    <t>SAAVEDRA HOYOS</t>
  </si>
  <si>
    <t>ALEXANDRA</t>
  </si>
  <si>
    <t>GELVEZ ROJAS</t>
  </si>
  <si>
    <t>Alexandrag54@hotmail.com</t>
  </si>
  <si>
    <t>SANTIAGO SNEIDER</t>
  </si>
  <si>
    <t>VILLAMIZAR LOPEZ</t>
  </si>
  <si>
    <t>santiagovillamizar500@gmail.com</t>
  </si>
  <si>
    <t>ALEJANDRA</t>
  </si>
  <si>
    <t>PINILLA MELENDEZ</t>
  </si>
  <si>
    <t>alejandrapinilla_97@hotmail.com</t>
  </si>
  <si>
    <t>ERIC DANIEL</t>
  </si>
  <si>
    <t>RIVALDO CORONELL</t>
  </si>
  <si>
    <t>ericrivaldocoronell@gmail.com</t>
  </si>
  <si>
    <t>PAULA ANDREA</t>
  </si>
  <si>
    <t>AGUIRRE RINCON</t>
  </si>
  <si>
    <t>andreitaaguirre08@gmail.com</t>
  </si>
  <si>
    <t>Yayre</t>
  </si>
  <si>
    <t xml:space="preserve">Quintero Sánchez </t>
  </si>
  <si>
    <t>yayrels@gmail.com</t>
  </si>
  <si>
    <t>LAURA CAMILA</t>
  </si>
  <si>
    <t>RANGEL CARDENAS</t>
  </si>
  <si>
    <t>4</t>
  </si>
  <si>
    <t>CARLOS HUMBERTO</t>
  </si>
  <si>
    <t>FIGUEROA ANGARITA</t>
  </si>
  <si>
    <t>Carlosfangarita001@gmail.com</t>
  </si>
  <si>
    <t>JHOAN JOSE</t>
  </si>
  <si>
    <t>TOLEDO VERA</t>
  </si>
  <si>
    <t>SEBASTIAN</t>
  </si>
  <si>
    <t>LOPEZ RUEDA</t>
  </si>
  <si>
    <t>Sebaslopezru7@gmail.com</t>
  </si>
  <si>
    <t>CESAR ANTONIO</t>
  </si>
  <si>
    <t>GUARIN SANABRIA</t>
  </si>
  <si>
    <t>cesarguarin@hotmail.es</t>
  </si>
  <si>
    <t>ESTEFANY YUDERLY</t>
  </si>
  <si>
    <t>MATTOS BLANCO</t>
  </si>
  <si>
    <t>estefanymattos52@gmail.com</t>
  </si>
  <si>
    <t>EDUWIN ALBERTO</t>
  </si>
  <si>
    <t>PAEZ RODRIGUEZ</t>
  </si>
  <si>
    <t>eapr8645@gmail.com</t>
  </si>
  <si>
    <t>Laura Daniela</t>
  </si>
  <si>
    <t>Mercado Blanco</t>
  </si>
  <si>
    <t>lauradanielamb12@gmail.com</t>
  </si>
  <si>
    <t>2</t>
  </si>
  <si>
    <t>OBED SAMUEL</t>
  </si>
  <si>
    <t>OTERO SANTOS</t>
  </si>
  <si>
    <t xml:space="preserve">Alex Santiago </t>
  </si>
  <si>
    <t xml:space="preserve">Mejía Castillejo </t>
  </si>
  <si>
    <t>aalexmejcas@gmail.com</t>
  </si>
  <si>
    <t>JONATHAN DAVID</t>
  </si>
  <si>
    <t>RODRIGUEZ CONDE</t>
  </si>
  <si>
    <t>jonathan.rodriguez2941@gmail.com</t>
  </si>
  <si>
    <t>Eliannys Evelyn</t>
  </si>
  <si>
    <t>Hernandez Murillo</t>
  </si>
  <si>
    <t>3</t>
  </si>
  <si>
    <t>JUAN MAURICIO</t>
  </si>
  <si>
    <t>OLGUIN RODRIGUEZ</t>
  </si>
  <si>
    <t>mauricioolguin0303@gmail.com</t>
  </si>
  <si>
    <t xml:space="preserve">José Andrés </t>
  </si>
  <si>
    <t>Vera peña</t>
  </si>
  <si>
    <t>Veraandresoficial@gmail.com</t>
  </si>
  <si>
    <t>ANA CAMILA</t>
  </si>
  <si>
    <t>CAAMAÑO DIAZ</t>
  </si>
  <si>
    <t>camilacd0926@gmail.com</t>
  </si>
  <si>
    <t>Calle 8 # 11-47</t>
  </si>
  <si>
    <t>Samuel Caamaño</t>
  </si>
  <si>
    <t>Hermano/a</t>
  </si>
  <si>
    <t>3172798847</t>
  </si>
  <si>
    <t/>
  </si>
  <si>
    <t>Katherine</t>
  </si>
  <si>
    <t>Rodriguez santiago</t>
  </si>
  <si>
    <t>Kathesantiago29@gmail.com</t>
  </si>
  <si>
    <t>ANGIE STEFANIA</t>
  </si>
  <si>
    <t>QUIJANO PLATA</t>
  </si>
  <si>
    <t>tatisplata9@gmail.com</t>
  </si>
  <si>
    <t>EDUARDO ANDRES</t>
  </si>
  <si>
    <t>RAMIREZ CARDENAS</t>
  </si>
  <si>
    <t>Eduardoandres_1998@hotmail.com</t>
  </si>
  <si>
    <t xml:space="preserve">Villas de Montecarlo casa C10 </t>
  </si>
  <si>
    <t>Luz cardneas</t>
  </si>
  <si>
    <t>Padre/Madre</t>
  </si>
  <si>
    <t>3124528163</t>
  </si>
  <si>
    <t>KEVIN  EDUARDO</t>
  </si>
  <si>
    <t>ALVAREZ  DIAZ</t>
  </si>
  <si>
    <t>kevtraderve@gmail.com</t>
  </si>
  <si>
    <t>GABRIEL ALEJANDRO</t>
  </si>
  <si>
    <t>VELA MARTINEZ</t>
  </si>
  <si>
    <t>ERIC SAMUEL</t>
  </si>
  <si>
    <t>SUAREZ NUÑEZ</t>
  </si>
  <si>
    <t>Yanamensajera@hotmail.com</t>
  </si>
  <si>
    <t>PAULO CESAR</t>
  </si>
  <si>
    <t>RINCON NAVARRO</t>
  </si>
  <si>
    <t>paulorinconpr88@gmail.com</t>
  </si>
  <si>
    <t>Jefferson Julian</t>
  </si>
  <si>
    <t>Gonzalez Bueno</t>
  </si>
  <si>
    <t>Julian1327gonzalez@gmail.com</t>
  </si>
  <si>
    <t>KAREN ALICIA</t>
  </si>
  <si>
    <t>PABON RIATIGA</t>
  </si>
  <si>
    <t>aliciapabon1994@gmail.com</t>
  </si>
  <si>
    <t>MICHELL KATHERINE</t>
  </si>
  <si>
    <t>SOLANO GELVEZ</t>
  </si>
  <si>
    <t>JUAN JOSE</t>
  </si>
  <si>
    <t>DUARTE RODRIGUEZ</t>
  </si>
  <si>
    <t>HILDEGARDE LUCILA</t>
  </si>
  <si>
    <t>CORREAL RUEDA</t>
  </si>
  <si>
    <t>hildegarde1979@hotmail.com</t>
  </si>
  <si>
    <t>Ana Camila</t>
  </si>
  <si>
    <t>Caamaño Diaz</t>
  </si>
  <si>
    <t>EDER FABIAN</t>
  </si>
  <si>
    <t>NIETO LEON</t>
  </si>
  <si>
    <t>ederfabiannieto@gmail.com</t>
  </si>
  <si>
    <t>MARIA FERNANDA</t>
  </si>
  <si>
    <t>ECHEVERRI JOYA</t>
  </si>
  <si>
    <t>TATIANA ANDREA</t>
  </si>
  <si>
    <t>SILVA CARDENAS</t>
  </si>
  <si>
    <t>Andrea_silva31@hotmail.com</t>
  </si>
  <si>
    <t>MELISSA ANDREA</t>
  </si>
  <si>
    <t>VARGAS ALVAREZ</t>
  </si>
  <si>
    <t>ERIKA JOHANA</t>
  </si>
  <si>
    <t>DURAN PINEDA</t>
  </si>
  <si>
    <t>RUBI LILIANA</t>
  </si>
  <si>
    <t>CABALLERO NIÑO</t>
  </si>
  <si>
    <t>Rubiiinino8@gmail.com</t>
  </si>
  <si>
    <t>KIARA SILENA</t>
  </si>
  <si>
    <t>SABINO GARCIA</t>
  </si>
  <si>
    <t>kiarasabino97@gmail.com</t>
  </si>
  <si>
    <t>YENNY PAOLA</t>
  </si>
  <si>
    <t>GONZALEZ DIETES</t>
  </si>
  <si>
    <t>YPAOLAGONZALEZ2@GMAIL.COM</t>
  </si>
  <si>
    <t>Luis</t>
  </si>
  <si>
    <t>guerrero</t>
  </si>
  <si>
    <t>Lgrueda91@gmail.com</t>
  </si>
  <si>
    <t>Grecia estefania</t>
  </si>
  <si>
    <t>Valencia Gonzalez</t>
  </si>
  <si>
    <t>DIEGO ALEJANDRO</t>
  </si>
  <si>
    <t>AZUERO MORENO</t>
  </si>
  <si>
    <t>LUIS FERNANDO</t>
  </si>
  <si>
    <t>QUINTANA HENAO</t>
  </si>
  <si>
    <t>Ferchohenao115@gmail.com</t>
  </si>
  <si>
    <t>Valeria</t>
  </si>
  <si>
    <t>Luna sandoval</t>
  </si>
  <si>
    <t>Valeriasandoval262626@gmail.com</t>
  </si>
  <si>
    <t xml:space="preserve">Jheilis Andrea </t>
  </si>
  <si>
    <t>Quintana galvis</t>
  </si>
  <si>
    <t>bconis1998@gmail.com</t>
  </si>
  <si>
    <t>Leonard David</t>
  </si>
  <si>
    <t>Garcia barrera</t>
  </si>
  <si>
    <t>leonardg363@nsb.edu.co</t>
  </si>
  <si>
    <t>BEDER MOISES</t>
  </si>
  <si>
    <t>DURAN DUQUE</t>
  </si>
  <si>
    <t>duranbeder06@gmail.com</t>
  </si>
  <si>
    <t>MARIANA</t>
  </si>
  <si>
    <t>HERRERA RINCON</t>
  </si>
  <si>
    <t>SONIA CRISTINA</t>
  </si>
  <si>
    <t>GELVEZ JAIMES</t>
  </si>
  <si>
    <t>NICOLAS FELIPE</t>
  </si>
  <si>
    <t>MURILLO ESTEBAN</t>
  </si>
  <si>
    <t>Marillyn</t>
  </si>
  <si>
    <t>Suarez</t>
  </si>
  <si>
    <t>Suarez9607@hotmail.es</t>
  </si>
  <si>
    <t>YEIMY YULIETH</t>
  </si>
  <si>
    <t>RODRIGUEZ ALMENDRALES</t>
  </si>
  <si>
    <t>JHON JAIRO</t>
  </si>
  <si>
    <t>CALDERON PAEZ</t>
  </si>
  <si>
    <t>Jhoncalderon786@gmail.com</t>
  </si>
  <si>
    <t>Esteban</t>
  </si>
  <si>
    <t>Mantilla</t>
  </si>
  <si>
    <t>Estemantillacar@gmail.com</t>
  </si>
  <si>
    <t>Sirley</t>
  </si>
  <si>
    <t>Ardila</t>
  </si>
  <si>
    <t>JORGE ANDRES</t>
  </si>
  <si>
    <t>BAUTISTA MENDEZ</t>
  </si>
  <si>
    <t>joanbamen23@gmail.com</t>
  </si>
  <si>
    <t xml:space="preserve">Avenida Búcaros #60-319 torocoma T4 101 </t>
  </si>
  <si>
    <t>6</t>
  </si>
  <si>
    <t xml:space="preserve">Mongui Muñoz </t>
  </si>
  <si>
    <t>3168795456</t>
  </si>
  <si>
    <t xml:space="preserve">Manuel Alejandro </t>
  </si>
  <si>
    <t>Pérez contreras</t>
  </si>
  <si>
    <t>alejandrocontreras1932@gmail.com</t>
  </si>
  <si>
    <t>NADIA KARINA</t>
  </si>
  <si>
    <t>GUERRERO PAZ</t>
  </si>
  <si>
    <t>Nadiakarina1085@gmail.com</t>
  </si>
  <si>
    <t>IVONNE ANDREA</t>
  </si>
  <si>
    <t>RUEDA VASQUEZ</t>
  </si>
  <si>
    <t>DIEGO EDSON</t>
  </si>
  <si>
    <t>URIBE SALAZAR</t>
  </si>
  <si>
    <t>JULIETH KATHERINE</t>
  </si>
  <si>
    <t>VILLAMIZAR OSORIO</t>
  </si>
  <si>
    <t>Yulipdcdesv@gmail.com</t>
  </si>
  <si>
    <t>DANIEL HERNANDO</t>
  </si>
  <si>
    <t>LOPEZ VEGA</t>
  </si>
  <si>
    <t>Danielopesitos@gmail.com</t>
  </si>
  <si>
    <t>Calle 50#22-87</t>
  </si>
  <si>
    <t>Hernando Lopez</t>
  </si>
  <si>
    <t>3212570548</t>
  </si>
  <si>
    <t>ANDRY YURANY</t>
  </si>
  <si>
    <t>ANDRADE SANDOVAL</t>
  </si>
  <si>
    <t>Andryur05@gmail.com</t>
  </si>
  <si>
    <t>Carrera 18#8a-30</t>
  </si>
  <si>
    <t>Daniel</t>
  </si>
  <si>
    <t>Esposo/a</t>
  </si>
  <si>
    <t>3107907445</t>
  </si>
  <si>
    <t>ISABEL SOFIA</t>
  </si>
  <si>
    <t>RUEDA PORRAS</t>
  </si>
  <si>
    <t>Isabelsrueda23@gmail.com</t>
  </si>
  <si>
    <t xml:space="preserve">TV 154 #157-65 </t>
  </si>
  <si>
    <t>7</t>
  </si>
  <si>
    <t>Shirley porras</t>
  </si>
  <si>
    <t>3155130595</t>
  </si>
  <si>
    <t>Miguel Angel</t>
  </si>
  <si>
    <t>Torres Martinez</t>
  </si>
  <si>
    <t>miguelangeltorresmartinez07@gmail.com</t>
  </si>
  <si>
    <t>Cr 15 # 18-70</t>
  </si>
  <si>
    <t>25</t>
  </si>
  <si>
    <t>Mary luz Martínez castro</t>
  </si>
  <si>
    <t>3144219919</t>
  </si>
  <si>
    <t>Sair Alberto</t>
  </si>
  <si>
    <t>Pineda Gamboa</t>
  </si>
  <si>
    <t>sairalberto@gmail.com</t>
  </si>
  <si>
    <t xml:space="preserve">Callejas Torres </t>
  </si>
  <si>
    <t>Katherin Caceres</t>
  </si>
  <si>
    <t>3168294669</t>
  </si>
  <si>
    <t>LEZLY ANDREA</t>
  </si>
  <si>
    <t>ORDOÑEZ TORRES</t>
  </si>
  <si>
    <t>DARIANA VICTORIA</t>
  </si>
  <si>
    <t>GIL RODRIGUEZ</t>
  </si>
  <si>
    <t>Darianagil24@gmail.com</t>
  </si>
  <si>
    <t>NAZLY ADRIANA</t>
  </si>
  <si>
    <t>VISBAL FONSECA</t>
  </si>
  <si>
    <t>Nazly20-08@hotmail.com</t>
  </si>
  <si>
    <t>JAVIER DARIO</t>
  </si>
  <si>
    <t>CARDENAS SIERRA</t>
  </si>
  <si>
    <t>Javierdariocatdenassierra@gmail.com</t>
  </si>
  <si>
    <t>YULY VANESSA</t>
  </si>
  <si>
    <t>SARMIENTO VILLA</t>
  </si>
  <si>
    <t>july_29sarmiento@hotmail.com</t>
  </si>
  <si>
    <t>ANDRES FELIPE</t>
  </si>
  <si>
    <t>RUIZ BLANCO</t>
  </si>
  <si>
    <t>JESUS ALEJANDRO</t>
  </si>
  <si>
    <t>LAGUADO ACEVEDO</t>
  </si>
  <si>
    <t>LAURA YAIRYNA</t>
  </si>
  <si>
    <t>CUEVAS QUIJANO</t>
  </si>
  <si>
    <t>laura.yairyna.cuevas@gmail.com</t>
  </si>
  <si>
    <t>MIGUEL ANGEL</t>
  </si>
  <si>
    <t>GAITAN HINCAPIE</t>
  </si>
  <si>
    <t>JUAN CAMILO</t>
  </si>
  <si>
    <t>GOMEZ EUGENIO</t>
  </si>
  <si>
    <t>MARIA JOSE</t>
  </si>
  <si>
    <t>SANCHEZ HEREDIA</t>
  </si>
  <si>
    <t>Mariajose120728@gmail.com</t>
  </si>
  <si>
    <t>BRAYAN STIVEN</t>
  </si>
  <si>
    <t>RODRIGUEZ RODRIGUEZ</t>
  </si>
  <si>
    <t>ANGIE CRISTINA</t>
  </si>
  <si>
    <t>LOZANO MOGOLLON</t>
  </si>
  <si>
    <t>D</t>
  </si>
  <si>
    <t>9</t>
  </si>
  <si>
    <t xml:space="preserve">Esperanza Mogollón Chaparro </t>
  </si>
  <si>
    <t>3152841584</t>
  </si>
  <si>
    <t xml:space="preserve">Angel </t>
  </si>
  <si>
    <t xml:space="preserve">Guillén </t>
  </si>
  <si>
    <t>angeloguillen85@gmail.com</t>
  </si>
  <si>
    <t xml:space="preserve">Sara </t>
  </si>
  <si>
    <t xml:space="preserve">Otalora bohorquez </t>
  </si>
  <si>
    <t>Otalorasara244@gmail.com</t>
  </si>
  <si>
    <t xml:space="preserve">Piedecuesta a </t>
  </si>
  <si>
    <t xml:space="preserve">Sonia Isabel Bohórquez Vargas </t>
  </si>
  <si>
    <t>3146061376</t>
  </si>
  <si>
    <t>FRANCISCO JAVIER</t>
  </si>
  <si>
    <t>ORTEGA CARRASCAL</t>
  </si>
  <si>
    <t>fjortegacarrascal@gmail.com</t>
  </si>
  <si>
    <t>GEORGE SEBASTIAN</t>
  </si>
  <si>
    <t>SANTOS RINCON</t>
  </si>
  <si>
    <t>Paola Andrea</t>
  </si>
  <si>
    <t>Flórez Gamboa</t>
  </si>
  <si>
    <t>DANIELA DAYANA</t>
  </si>
  <si>
    <t>RINCON DIAZ</t>
  </si>
  <si>
    <t>cr2386661@gmail.com</t>
  </si>
  <si>
    <t xml:space="preserve">David </t>
  </si>
  <si>
    <t xml:space="preserve">Escobar </t>
  </si>
  <si>
    <t>qqtabox@gmail.com</t>
  </si>
  <si>
    <t>Ed Alto pamplonita 407</t>
  </si>
  <si>
    <t xml:space="preserve">Myriam </t>
  </si>
  <si>
    <t>3164538487</t>
  </si>
  <si>
    <t>OSCAR ANDRES</t>
  </si>
  <si>
    <t>POMBO RIVERA</t>
  </si>
  <si>
    <t>Juan daniel</t>
  </si>
  <si>
    <t xml:space="preserve">Ruiz mendivelso </t>
  </si>
  <si>
    <t>ADRIANA PAOLA</t>
  </si>
  <si>
    <t>REAL CHAVARRO</t>
  </si>
  <si>
    <t>Juan David</t>
  </si>
  <si>
    <t>Montoya Carreño</t>
  </si>
  <si>
    <t>jdavid062008@gmail.com</t>
  </si>
  <si>
    <t>JULIETH VALENTINA</t>
  </si>
  <si>
    <t>CARDENAS ASCENCIO</t>
  </si>
  <si>
    <t>Valentinariver@hotmail.com</t>
  </si>
  <si>
    <t>YERSON EDUARDO</t>
  </si>
  <si>
    <t>JURADO DIAZ</t>
  </si>
  <si>
    <t>Dyerson827@gmail.com</t>
  </si>
  <si>
    <t>YOAN SEVASTIAN</t>
  </si>
  <si>
    <t>DUARTE VILA</t>
  </si>
  <si>
    <t>johansebastianduartevila586@gmail.com</t>
  </si>
  <si>
    <t>DANNA GABRIELA</t>
  </si>
  <si>
    <t>ROJAS ROJAS</t>
  </si>
  <si>
    <t>dannarojasx3@gmail.com</t>
  </si>
  <si>
    <t>MARIA ANGELICA</t>
  </si>
  <si>
    <t>MENESES RINCON</t>
  </si>
  <si>
    <t>mmeneses357@unab.edu.co</t>
  </si>
  <si>
    <t>MAILETH STEFANNY</t>
  </si>
  <si>
    <t>HURTADO MUÑOZ</t>
  </si>
  <si>
    <t>mailethstefanny.h@gmail.com</t>
  </si>
  <si>
    <t>CRA 15#65-50</t>
  </si>
  <si>
    <t>GLORIA ENIT MUÑOZ GOMEZ</t>
  </si>
  <si>
    <t>3142127071</t>
  </si>
  <si>
    <t>Marianh carolay</t>
  </si>
  <si>
    <t>Torres tellez</t>
  </si>
  <si>
    <t>CRISTIAN CAMILO</t>
  </si>
  <si>
    <t>CANDANOZA OLIVO</t>
  </si>
  <si>
    <t>Dayana Yulieth</t>
  </si>
  <si>
    <t>Barbosa Martinez</t>
  </si>
  <si>
    <t>Dayanabarbosa45@gmail.com</t>
  </si>
  <si>
    <t>JOICY DAYANNA</t>
  </si>
  <si>
    <t>SAAVEDRA MEDINA</t>
  </si>
  <si>
    <t>saavedrajoicy@gmail.com</t>
  </si>
  <si>
    <t>Cll 10An # 2A-23 bosque paraiso</t>
  </si>
  <si>
    <t>5</t>
  </si>
  <si>
    <t>Nancy Saavedra</t>
  </si>
  <si>
    <t>3142944260</t>
  </si>
  <si>
    <t>EDWIN SANTIAGO</t>
  </si>
  <si>
    <t>CACUA BAEZ</t>
  </si>
  <si>
    <t>Edwincacua560@gmail.com</t>
  </si>
  <si>
    <t>DANIEL DAVID</t>
  </si>
  <si>
    <t>LANDAZABAL CABALLERO</t>
  </si>
  <si>
    <t>FREDDY</t>
  </si>
  <si>
    <t>PARADA ORTEGA</t>
  </si>
  <si>
    <t>Freddypara46@gmail.com</t>
  </si>
  <si>
    <t>CLAUDIA AZUCENA</t>
  </si>
  <si>
    <t>HURTADO ANAYA</t>
  </si>
  <si>
    <t>claudiahurtado197@gmail.com</t>
  </si>
  <si>
    <t>DAVID SANTIAGO</t>
  </si>
  <si>
    <t>ACOSTA BUENO</t>
  </si>
  <si>
    <t>LEYDY KATERINE</t>
  </si>
  <si>
    <t>PEÑA CAICEDO</t>
  </si>
  <si>
    <t>katherinepena686@gmail.com</t>
  </si>
  <si>
    <t>YARICELL TATIANA</t>
  </si>
  <si>
    <t>MARTINEZ SALCEDO</t>
  </si>
  <si>
    <t>LIZETH PAOLA</t>
  </si>
  <si>
    <t>DAZA QUINTERO</t>
  </si>
  <si>
    <t>lizethyangie@gmail.com</t>
  </si>
  <si>
    <t>LESLY VALENTINA</t>
  </si>
  <si>
    <t>PINZON PALOMINO</t>
  </si>
  <si>
    <t>leslyevalentina4@gmail.com</t>
  </si>
  <si>
    <t>Calle 7N 7-53 apto 501 edificio Infinity Junín 1</t>
  </si>
  <si>
    <t>DIANA CAROLINA PALOMINO</t>
  </si>
  <si>
    <t>3208307393</t>
  </si>
  <si>
    <t>Edinson</t>
  </si>
  <si>
    <t>Moncada</t>
  </si>
  <si>
    <t>PAOLA ANDREA</t>
  </si>
  <si>
    <t>SIERRA LOZANO</t>
  </si>
  <si>
    <t>Paosierralozano@gmail.com</t>
  </si>
  <si>
    <t xml:space="preserve">Calle 10 22 53 </t>
  </si>
  <si>
    <t xml:space="preserve">Gladys Lozano </t>
  </si>
  <si>
    <t>3102356844</t>
  </si>
  <si>
    <t>MICHELLE DANIELA</t>
  </si>
  <si>
    <t>BERMON ROMAN</t>
  </si>
  <si>
    <t>michellebermon5@gmail.com</t>
  </si>
  <si>
    <t>Mz D19 lote 13 torcoroma II</t>
  </si>
  <si>
    <t>Bernarda Roman</t>
  </si>
  <si>
    <t>3225907946</t>
  </si>
  <si>
    <t>Joseph gregory</t>
  </si>
  <si>
    <t>De los santos bastidas</t>
  </si>
  <si>
    <t>josephdossantos132904@gmail.com</t>
  </si>
  <si>
    <t xml:space="preserve">Karen julieth </t>
  </si>
  <si>
    <t xml:space="preserve">Dueñez morales </t>
  </si>
  <si>
    <t>Jullduenez2022@gmail.com</t>
  </si>
  <si>
    <t>CAMILO ALEJANDRO</t>
  </si>
  <si>
    <t>SANDOVAL CISNEROS</t>
  </si>
  <si>
    <t>alejandro_cisneros94@hotmail.com</t>
  </si>
  <si>
    <t>INGRID YULIANI</t>
  </si>
  <si>
    <t>CONTRERAS ATUESTA</t>
  </si>
  <si>
    <t>CLARIBETH</t>
  </si>
  <si>
    <t>CLARO ASCANIO</t>
  </si>
  <si>
    <t>Clariclaroas@gmail.com</t>
  </si>
  <si>
    <t>BRIAN LEONARDO</t>
  </si>
  <si>
    <t>ANGULO TELLEZ</t>
  </si>
  <si>
    <t>Anthony Lizandro</t>
  </si>
  <si>
    <t>Blanco Villarreal</t>
  </si>
  <si>
    <t>anthonygamerz12@gmail.com</t>
  </si>
  <si>
    <t>Avenida 5B #8-30 Prados del este</t>
  </si>
  <si>
    <t>Joselin Andrea Villarreal</t>
  </si>
  <si>
    <t>3102388347</t>
  </si>
  <si>
    <t>JOSELIN ANDREA</t>
  </si>
  <si>
    <t>VILLARREAL</t>
  </si>
  <si>
    <t>jandreavillareal@gmail.com</t>
  </si>
  <si>
    <t xml:space="preserve">Av 5B#8-30 Prados del Este </t>
  </si>
  <si>
    <t>Anthony Blanco</t>
  </si>
  <si>
    <t>Hijo/a</t>
  </si>
  <si>
    <t>3108034366</t>
  </si>
  <si>
    <t>DANIEL</t>
  </si>
  <si>
    <t>BAENA PADILLA</t>
  </si>
  <si>
    <t>MARIA CAMILA</t>
  </si>
  <si>
    <t>PARDO REALES</t>
  </si>
  <si>
    <t>Mariacamilapardo@outlook.es</t>
  </si>
  <si>
    <t xml:space="preserve">Avenida libertadores conjunto residencial  prados 1 casa 18 </t>
  </si>
  <si>
    <t xml:space="preserve">Nathaly Orozco </t>
  </si>
  <si>
    <t>Primo/a</t>
  </si>
  <si>
    <t>+57 316 6866784</t>
  </si>
  <si>
    <t>LEIDY JOHANNA</t>
  </si>
  <si>
    <t>PEÑARANDA CONTRERAS</t>
  </si>
  <si>
    <t>LISETTE CARINA</t>
  </si>
  <si>
    <t>RODRIGUEZ MORENO</t>
  </si>
  <si>
    <t>rlisette2002@gmail.com</t>
  </si>
  <si>
    <t>Cll 64a #17a-77</t>
  </si>
  <si>
    <t xml:space="preserve">Rosa moreno </t>
  </si>
  <si>
    <t>3153059310</t>
  </si>
  <si>
    <t>DIANA PAOLA</t>
  </si>
  <si>
    <t>RIVERA PEREZ</t>
  </si>
  <si>
    <t>DANIELA ANDREA</t>
  </si>
  <si>
    <t>CONTRERAS VELANDIA</t>
  </si>
  <si>
    <t>Dvcontreras26@gmail.com</t>
  </si>
  <si>
    <t>Nefer Alejandro</t>
  </si>
  <si>
    <t>Valencia Arias</t>
  </si>
  <si>
    <t>ALYSSON SMITH</t>
  </si>
  <si>
    <t>JEREZ MANTILLA</t>
  </si>
  <si>
    <t>MONICA CRISTINA</t>
  </si>
  <si>
    <t>VELASCO ALARCON</t>
  </si>
  <si>
    <t>monicaavelascoo18@gmail.com</t>
  </si>
  <si>
    <t>CAÑAVERAL</t>
  </si>
  <si>
    <t>0</t>
  </si>
  <si>
    <t>311123123</t>
  </si>
  <si>
    <t xml:space="preserve">Hernández Salgado </t>
  </si>
  <si>
    <t>dh787797@gmail.com</t>
  </si>
  <si>
    <t>Villa lina</t>
  </si>
  <si>
    <t>July Paola</t>
  </si>
  <si>
    <t>3126180405</t>
  </si>
  <si>
    <t>Angel</t>
  </si>
  <si>
    <t>Gonzalez</t>
  </si>
  <si>
    <t>angeldavid.gonzalez0512@gmail.com</t>
  </si>
  <si>
    <t>Calle 7N#3A-82</t>
  </si>
  <si>
    <t>312438662</t>
  </si>
  <si>
    <t>5700390</t>
  </si>
  <si>
    <t>SHARON DANIELA</t>
  </si>
  <si>
    <t>ACOSTA VILLARREAL</t>
  </si>
  <si>
    <t>SHADAAVI08@GMAIL.COM</t>
  </si>
  <si>
    <t xml:space="preserve">Dam Sebastián </t>
  </si>
  <si>
    <t xml:space="preserve">Vargas Sarmiento </t>
  </si>
  <si>
    <t>damsebastianvargassarmiento@gmail.com</t>
  </si>
  <si>
    <t xml:space="preserve">Calle 0 # 5 - 21 </t>
  </si>
  <si>
    <t>Blanca Sarmiento</t>
  </si>
  <si>
    <t>3223110942</t>
  </si>
  <si>
    <t>ANYELO YAIDER</t>
  </si>
  <si>
    <t>RODRIGUEZ OSORIO</t>
  </si>
  <si>
    <t>Ajrp2001@outlook.com</t>
  </si>
  <si>
    <t>VANESSA VALENTINA</t>
  </si>
  <si>
    <t>PRIETO SOLER</t>
  </si>
  <si>
    <t>Valentina17231723@gmail.com</t>
  </si>
  <si>
    <t xml:space="preserve">Emmanuel </t>
  </si>
  <si>
    <t>Gomez</t>
  </si>
  <si>
    <t>axnel19@gmail.com</t>
  </si>
  <si>
    <t>LADY ESTEFANIA</t>
  </si>
  <si>
    <t>MANTILLA MEJIA</t>
  </si>
  <si>
    <t>ladymantillamejia@gmail.com</t>
  </si>
  <si>
    <t xml:space="preserve">Carrera 16 no. 3N-09 quinta granada </t>
  </si>
  <si>
    <t xml:space="preserve">Sebastián Parra </t>
  </si>
  <si>
    <t>3188942930</t>
  </si>
  <si>
    <t xml:space="preserve">Hipoglicemia </t>
  </si>
  <si>
    <t>RICARDO ALEXIS</t>
  </si>
  <si>
    <t>PARADA BAUTISTA</t>
  </si>
  <si>
    <t>Ricardoalexispb@ufps.edu.co</t>
  </si>
  <si>
    <t xml:space="preserve">Mariana </t>
  </si>
  <si>
    <t xml:space="preserve">Fuentes Camargo </t>
  </si>
  <si>
    <t>marianafuentescamargo2008@gmail.com</t>
  </si>
  <si>
    <t>JENY CAROLINA</t>
  </si>
  <si>
    <t>MARIN MAYORGA</t>
  </si>
  <si>
    <t>Jenycarolina843@gmail.com</t>
  </si>
  <si>
    <t>IVAN</t>
  </si>
  <si>
    <t>SUAREZ ACEVEDO</t>
  </si>
  <si>
    <t>Ivans3022@hotmail.com</t>
  </si>
  <si>
    <t>JAIR SEBASTIAN</t>
  </si>
  <si>
    <t>DIAZ MAYORGA</t>
  </si>
  <si>
    <t>diazmayorgajairsebastian534@gmail.com</t>
  </si>
  <si>
    <t>SIMON ALEJANDRO</t>
  </si>
  <si>
    <t>CARDENAS TORRES</t>
  </si>
  <si>
    <t>alejoct06@gmail.com</t>
  </si>
  <si>
    <t>KAREN YULITZA</t>
  </si>
  <si>
    <t>MANDON BARRIOS</t>
  </si>
  <si>
    <t>karenyulitza26@gmail.com</t>
  </si>
  <si>
    <t>JUAN PABLO</t>
  </si>
  <si>
    <t>QUINTERO VILLAMIZAR</t>
  </si>
  <si>
    <t>Daniel felipe</t>
  </si>
  <si>
    <t>Guarin corredor</t>
  </si>
  <si>
    <t>KELLY JOHANA</t>
  </si>
  <si>
    <t>SOTO VANEGAS</t>
  </si>
  <si>
    <t xml:space="preserve">Andres Jose </t>
  </si>
  <si>
    <t xml:space="preserve">Sanchez Hernandez </t>
  </si>
  <si>
    <t>Jeffly Manuel</t>
  </si>
  <si>
    <t>Pierre Jourdain</t>
  </si>
  <si>
    <t>manuelabreu1212@protonmail.com</t>
  </si>
  <si>
    <t>Cl. 37 #24-49, Bolívar, Bucaramanga, Bolívar, Colombia</t>
  </si>
  <si>
    <t>12</t>
  </si>
  <si>
    <t>Jean Reginald pierre</t>
  </si>
  <si>
    <t>+18295409846</t>
  </si>
  <si>
    <t>Neider Juliano</t>
  </si>
  <si>
    <t>Medina Medina</t>
  </si>
  <si>
    <t>neidermedina1003@gmail.com</t>
  </si>
  <si>
    <t>CHRISTIAN ANDRES</t>
  </si>
  <si>
    <t>JAIMES RINCON</t>
  </si>
  <si>
    <t>VALERIA</t>
  </si>
  <si>
    <t>CARRILLO TORRADO</t>
  </si>
  <si>
    <t>valeriacarrillotorrado@gmail.com</t>
  </si>
  <si>
    <t>JOAN OMAR</t>
  </si>
  <si>
    <t>ALMEIDA SANTOS</t>
  </si>
  <si>
    <t>Joan.umd@gmail.com</t>
  </si>
  <si>
    <t>BRANDON STEEVEN</t>
  </si>
  <si>
    <t>DAZA JAIMES</t>
  </si>
  <si>
    <t>Bdajaimes@outlook.com</t>
  </si>
  <si>
    <t xml:space="preserve">Silvia Karina </t>
  </si>
  <si>
    <t xml:space="preserve">Caballero Melo </t>
  </si>
  <si>
    <t>silviac202329@gmail.com</t>
  </si>
  <si>
    <t># - Finca Villa Stella, Vereda Guariguará</t>
  </si>
  <si>
    <t xml:space="preserve">Enid Melo </t>
  </si>
  <si>
    <t>3015658878</t>
  </si>
  <si>
    <t>ARLY STEICY</t>
  </si>
  <si>
    <t>RAMIREZ RUEDA</t>
  </si>
  <si>
    <t>Arliramirez0326@gmail.com</t>
  </si>
  <si>
    <t>Carrera 4a#18a05</t>
  </si>
  <si>
    <t>Sergio galvis</t>
  </si>
  <si>
    <t>3178530929</t>
  </si>
  <si>
    <t>SERGIO IVAN</t>
  </si>
  <si>
    <t>GALVIS CABALLERO</t>
  </si>
  <si>
    <t>sigc.ing@hotmail.com</t>
  </si>
  <si>
    <t>JAVIER ALIRIO</t>
  </si>
  <si>
    <t>CARVAJAL QUINTANA</t>
  </si>
  <si>
    <t>Javiercarvajal.9401@gmail.com</t>
  </si>
  <si>
    <t>MARIA PAULA</t>
  </si>
  <si>
    <t>LLANOS SOTO</t>
  </si>
  <si>
    <t>Paulasoto310@gmail.com</t>
  </si>
  <si>
    <t>ANYELA LISLEY</t>
  </si>
  <si>
    <t>JAIMES VERA</t>
  </si>
  <si>
    <t xml:space="preserve">Lia Gabriela </t>
  </si>
  <si>
    <t xml:space="preserve">Montoya Pérez </t>
  </si>
  <si>
    <t>ligamonpe@gmail.com</t>
  </si>
  <si>
    <t>Cl. 7 Este #7-90, Urb Prados del este</t>
  </si>
  <si>
    <t xml:space="preserve">Carmen de Fex </t>
  </si>
  <si>
    <t>Tutor/a</t>
  </si>
  <si>
    <t>3185997604</t>
  </si>
  <si>
    <t>SOPHIE</t>
  </si>
  <si>
    <t>LOPEZ PARRA</t>
  </si>
  <si>
    <t>ANGELICA</t>
  </si>
  <si>
    <t>FORERO ORTEGA</t>
  </si>
  <si>
    <t>Ytu.angelica@gmail.com</t>
  </si>
  <si>
    <t>Avenida 7#4A-53 prados del este</t>
  </si>
  <si>
    <t>Ana ortega</t>
  </si>
  <si>
    <t>3142792475</t>
  </si>
  <si>
    <t>EDDY JULIETH</t>
  </si>
  <si>
    <t>GARCIA MENDIVELSO</t>
  </si>
  <si>
    <t>Javier Alejandro</t>
  </si>
  <si>
    <t>Marquez Carmona</t>
  </si>
  <si>
    <t>javieraleja203@gmail.com</t>
  </si>
  <si>
    <t>FLOR MARIA</t>
  </si>
  <si>
    <t>RODRIGUEZ SARMIENTO</t>
  </si>
  <si>
    <t>LOZADA QUINTERO</t>
  </si>
  <si>
    <t>valentinalozada.uni@gmail.com</t>
  </si>
  <si>
    <t xml:space="preserve">Cll 3BN # 0w-52 </t>
  </si>
  <si>
    <t>Diana Rueda</t>
  </si>
  <si>
    <t>3238063061</t>
  </si>
  <si>
    <t>AVENDAÑO SANDOVAL</t>
  </si>
  <si>
    <t>JESUS ALBERTO</t>
  </si>
  <si>
    <t>PUERTO CACERES</t>
  </si>
  <si>
    <t>Jpuerto0610@gmail.com</t>
  </si>
  <si>
    <t xml:space="preserve">Carrera 25 36-84 floridablanca </t>
  </si>
  <si>
    <t xml:space="preserve">Diego Cartagena </t>
  </si>
  <si>
    <t>321 7554411</t>
  </si>
  <si>
    <t>Andrés Camilo</t>
  </si>
  <si>
    <t>Riaño</t>
  </si>
  <si>
    <t>yocamilo4@gmail.com</t>
  </si>
  <si>
    <t>carrera 29 #96-78</t>
  </si>
  <si>
    <t>Saul Mauricio Riaño</t>
  </si>
  <si>
    <t>3006754749</t>
  </si>
  <si>
    <t>Jhonn Alexander</t>
  </si>
  <si>
    <t>Barajas Gómez</t>
  </si>
  <si>
    <t>jhonn_barg@hotmail.com</t>
  </si>
  <si>
    <t>Cl 9 # 16 - 29 apto 508</t>
  </si>
  <si>
    <t xml:space="preserve">Jesus Barajas </t>
  </si>
  <si>
    <t>302 2622546</t>
  </si>
  <si>
    <t>WENDY JURANNY</t>
  </si>
  <si>
    <t>SUAREZ ROJAS</t>
  </si>
  <si>
    <t>yurany.suarez@outlook.com</t>
  </si>
  <si>
    <t>SERGIO ANDRES</t>
  </si>
  <si>
    <t>FONSECA QUINTERO</t>
  </si>
  <si>
    <t>sergio052000@icloud.com</t>
  </si>
  <si>
    <t>Cuidad Bolivar calle 64-712</t>
  </si>
  <si>
    <t xml:space="preserve">Santiago Fonseca </t>
  </si>
  <si>
    <t>3113168958</t>
  </si>
  <si>
    <t>ANA VICTORIA</t>
  </si>
  <si>
    <t>HERRERA BARROS</t>
  </si>
  <si>
    <t>IVAN ANDRES</t>
  </si>
  <si>
    <t>PEÑA RANGEL</t>
  </si>
  <si>
    <t>andrespena1241@gmail.com</t>
  </si>
  <si>
    <t>NATALIA</t>
  </si>
  <si>
    <t>MORRIS BALLESTEROS</t>
  </si>
  <si>
    <t>nataliamorris25@hotmail.com</t>
  </si>
  <si>
    <t>RICHARD YESHUA</t>
  </si>
  <si>
    <t>RUBIO RODRIGUEZ</t>
  </si>
  <si>
    <t>richardrubio6707@gmail.com</t>
  </si>
  <si>
    <t>Cra 29 #45-45</t>
  </si>
  <si>
    <t>Marco Rubio</t>
  </si>
  <si>
    <t>3138433563</t>
  </si>
  <si>
    <t>CRISTHIAN MANUEL</t>
  </si>
  <si>
    <t>TARAZONA VILLEGAS</t>
  </si>
  <si>
    <t>BRAYAN DANIEL</t>
  </si>
  <si>
    <t>CORONELL RODRIGUEZ</t>
  </si>
  <si>
    <t>Marisol Rodriguez Mesa</t>
  </si>
  <si>
    <t>3102932984</t>
  </si>
  <si>
    <t>VELANDIA MALAGON</t>
  </si>
  <si>
    <t>JUAN ANDRES</t>
  </si>
  <si>
    <t>RAMIREZ SANCHEZ</t>
  </si>
  <si>
    <t>ROSADO ZULUAGA</t>
  </si>
  <si>
    <t>SHANTY DANIELA</t>
  </si>
  <si>
    <t>ALFONSO PIMIENTO</t>
  </si>
  <si>
    <t>CARLOS ALBERTO</t>
  </si>
  <si>
    <t>CASTILLO PACHON</t>
  </si>
  <si>
    <t>SILVIA NATHALIA</t>
  </si>
  <si>
    <t>ORTEGA GOMEZ</t>
  </si>
  <si>
    <t>silviaortega.ng@gmail.com</t>
  </si>
  <si>
    <t>cra23#46b-26</t>
  </si>
  <si>
    <t>mayerli gomez</t>
  </si>
  <si>
    <t>3172937492</t>
  </si>
  <si>
    <t>ROTURA DE LIGAMENTO CRUZADO ANTERIOR RODILLA IZQUIERDA</t>
  </si>
  <si>
    <t>MAIRA ALEJANDRA</t>
  </si>
  <si>
    <t>ANGULO JIMENEZ</t>
  </si>
  <si>
    <t>alejandraangulo3115@gmail.com</t>
  </si>
  <si>
    <t>Erika Katherine</t>
  </si>
  <si>
    <t>Perez Romero</t>
  </si>
  <si>
    <t>Marian</t>
  </si>
  <si>
    <t>Cristancho</t>
  </si>
  <si>
    <t>mari_c.d@hotmail.com</t>
  </si>
  <si>
    <t>SILVIA PAOLA</t>
  </si>
  <si>
    <t>PRADA OCHOA</t>
  </si>
  <si>
    <t>pradaochoa@hotmail.com</t>
  </si>
  <si>
    <t>UBER ANDRES</t>
  </si>
  <si>
    <t>MORA MONTENEGRO</t>
  </si>
  <si>
    <t>uberandresmora@gmail.com</t>
  </si>
  <si>
    <t>cll 21b #1w-21</t>
  </si>
  <si>
    <t>Carlos Steven Mora Montenegro</t>
  </si>
  <si>
    <t>3507829073</t>
  </si>
  <si>
    <t>ninguna</t>
  </si>
  <si>
    <t>CARLOS STEVEN</t>
  </si>
  <si>
    <t>stevenmm232@gmail.com</t>
  </si>
  <si>
    <t>Uber Andres Mora Montenegro</t>
  </si>
  <si>
    <t>3107792786</t>
  </si>
  <si>
    <t>Alejandro</t>
  </si>
  <si>
    <t>Bedoya</t>
  </si>
  <si>
    <t>alejandrobedoyac26a@gmail.com</t>
  </si>
  <si>
    <t>cra 19 #8-45</t>
  </si>
  <si>
    <t>Monica Cesarino</t>
  </si>
  <si>
    <t>3006510894</t>
  </si>
  <si>
    <t>ADRIAN CAMILO</t>
  </si>
  <si>
    <t>LOPEZ RODRIGUEZ</t>
  </si>
  <si>
    <t>GENIS CECILIA</t>
  </si>
  <si>
    <t>ESTUPIAN DUARTE</t>
  </si>
  <si>
    <t>ZHARICH ELIETH</t>
  </si>
  <si>
    <t>SANTRICH ZUÑIGA</t>
  </si>
  <si>
    <t>sharichzuniga581@gmail.com</t>
  </si>
  <si>
    <t>VERONICA</t>
  </si>
  <si>
    <t>CASADIEGOS CELIS</t>
  </si>
  <si>
    <t>verohvm@hotmail.com</t>
  </si>
  <si>
    <t>Conjunto cerrado Riviera del este Apt 503 A</t>
  </si>
  <si>
    <t>20</t>
  </si>
  <si>
    <t>Sebastián Toscano</t>
  </si>
  <si>
    <t>3219629934</t>
  </si>
  <si>
    <t>TOSCANO TARAZONA</t>
  </si>
  <si>
    <t>Sebastoscano_15@hotmail.com</t>
  </si>
  <si>
    <t>CONJUNTO RIVIERA DEL ESTE 503A</t>
  </si>
  <si>
    <t>Rocio del Pilar Tarazona</t>
  </si>
  <si>
    <t>3134985575</t>
  </si>
  <si>
    <t>Operado de Hernia discal y problemas por sobre peso</t>
  </si>
  <si>
    <t>ALEJANDRO</t>
  </si>
  <si>
    <t>MENDOZA HERNANDEZ</t>
  </si>
  <si>
    <t>alejandro_mendoza0620@live.com</t>
  </si>
  <si>
    <t>Cra 39 42 112</t>
  </si>
  <si>
    <t>Carmen hernandez</t>
  </si>
  <si>
    <t>3143284782</t>
  </si>
  <si>
    <t>DANIELA</t>
  </si>
  <si>
    <t>ORTIZ ARENAS</t>
  </si>
  <si>
    <t>Danielaortiz125@outlook.com</t>
  </si>
  <si>
    <t xml:space="preserve">Carrera 3A #22-17 paseo del puente 2 </t>
  </si>
  <si>
    <t xml:space="preserve">Marlene Arenas </t>
  </si>
  <si>
    <t>3165369667</t>
  </si>
  <si>
    <t>MARIA CLARA</t>
  </si>
  <si>
    <t>JAIMES LEAL</t>
  </si>
  <si>
    <t>DIEGO ALEXANDER</t>
  </si>
  <si>
    <t>JURADO TORRES</t>
  </si>
  <si>
    <t>dialexju94@gmail.com</t>
  </si>
  <si>
    <t>Cr 3w #8n 265</t>
  </si>
  <si>
    <t>Giselle nathalia florez</t>
  </si>
  <si>
    <t>3204675238</t>
  </si>
  <si>
    <t>Sobrepeso</t>
  </si>
  <si>
    <t>DANIEL ALEJANDRO</t>
  </si>
  <si>
    <t>PICO MARTINEZ</t>
  </si>
  <si>
    <t>MARBEL DAYANNA</t>
  </si>
  <si>
    <t>CARVAJALINO O'MEARA</t>
  </si>
  <si>
    <t>INGRID TIBISAY</t>
  </si>
  <si>
    <t>ingridtibisay2113@gmail.com</t>
  </si>
  <si>
    <t xml:space="preserve">Km 4 via Pamplona </t>
  </si>
  <si>
    <t xml:space="preserve">Sandra Jerez Mantilla </t>
  </si>
  <si>
    <t>3155108488</t>
  </si>
  <si>
    <t>Asma</t>
  </si>
  <si>
    <t>Ricardo José</t>
  </si>
  <si>
    <t>Bustos becerra</t>
  </si>
  <si>
    <t>ricardojosebustosbecerra@gmail.com</t>
  </si>
  <si>
    <t>Calle 67#7-65</t>
  </si>
  <si>
    <t>3124506953</t>
  </si>
  <si>
    <t>Nixon</t>
  </si>
  <si>
    <t>Calderón</t>
  </si>
  <si>
    <t>WILIAM NEMESIO</t>
  </si>
  <si>
    <t>DIAZ GUTIERREZ</t>
  </si>
  <si>
    <t>Wdiazg12@gmail.com</t>
  </si>
  <si>
    <t>SONIA MILENA</t>
  </si>
  <si>
    <t>GALVIS ORTIZ</t>
  </si>
  <si>
    <t>milena.galvis1921@gmail.com</t>
  </si>
  <si>
    <t>Av8a # 5-86 prados del este</t>
  </si>
  <si>
    <t xml:space="preserve">Álvaro galvis </t>
  </si>
  <si>
    <t>3115283258</t>
  </si>
  <si>
    <t>MOISES DAVID</t>
  </si>
  <si>
    <t>IGUARAN GIRNU</t>
  </si>
  <si>
    <t>Iguaranmoises2@gmail.com</t>
  </si>
  <si>
    <t>SANDRA MILENA</t>
  </si>
  <si>
    <t>DUARTE PEÑUELA</t>
  </si>
  <si>
    <t>Smduarte@keralty.co</t>
  </si>
  <si>
    <t xml:space="preserve">Anthony Jeferson </t>
  </si>
  <si>
    <t>Torrealba Sanchez</t>
  </si>
  <si>
    <t>anthonytjs95@gmail.com</t>
  </si>
  <si>
    <t>GERARD JESUS</t>
  </si>
  <si>
    <t>SUAREZ SANTAMARIA</t>
  </si>
  <si>
    <t>Ronald Jose</t>
  </si>
  <si>
    <t>Castillo Navas</t>
  </si>
  <si>
    <t>RCAZ1133@gmail.com</t>
  </si>
  <si>
    <t>Diana</t>
  </si>
  <si>
    <t>Villamizar</t>
  </si>
  <si>
    <t>Dianavilla.edu@gmail.com</t>
  </si>
  <si>
    <t>LEWIS ARAMIS</t>
  </si>
  <si>
    <t>MANZANO GUERRERO</t>
  </si>
  <si>
    <t>lewisdev24@gmail.com</t>
  </si>
  <si>
    <t>calle 49 23 25 Poblado, Giron</t>
  </si>
  <si>
    <t>Mary Guerrero</t>
  </si>
  <si>
    <t>3223249535</t>
  </si>
  <si>
    <t xml:space="preserve">Roger Ernesto </t>
  </si>
  <si>
    <t>Manzano</t>
  </si>
  <si>
    <t>rogercastillo0709@gmail.com</t>
  </si>
  <si>
    <t xml:space="preserve">Bucarica sector 20 </t>
  </si>
  <si>
    <t xml:space="preserve">Yurbay Manzano </t>
  </si>
  <si>
    <t>3158687878</t>
  </si>
  <si>
    <t>LUZBY STIWENSON</t>
  </si>
  <si>
    <t>LOPEZ AMADO</t>
  </si>
  <si>
    <t>Columna1</t>
  </si>
  <si>
    <t>idPlan</t>
  </si>
  <si>
    <t xml:space="preserve">María José </t>
  </si>
  <si>
    <t xml:space="preserve">Mogollon Jiménez </t>
  </si>
  <si>
    <t>Majomoji2007@gmail.com</t>
  </si>
  <si>
    <t xml:space="preserve">Cll. 6N #4-200 conjunto Junín 2 </t>
  </si>
  <si>
    <t>3105946633</t>
  </si>
  <si>
    <t>3112693102</t>
  </si>
  <si>
    <t>DELGADO BALLESTEROS</t>
  </si>
  <si>
    <t>calle 23 #15 - 31</t>
  </si>
  <si>
    <t>33</t>
  </si>
  <si>
    <t>Francisco Delgado</t>
  </si>
  <si>
    <t>3023670203</t>
  </si>
  <si>
    <t>Se encentra en FP+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</si>
</sst>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7.5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22" fontId="0" fillId="0" borderId="0" xfId="0" applyNumberFormat="1" applyAlignment="1">
      <alignment wrapText="1"/>
    </xf>
    <xf numFmtId="0" fontId="20" fillId="0" borderId="0" xfId="0" applyFont="1" applyAlignment="1">
      <alignment wrapText="1"/>
    </xf>
    <xf numFmtId="0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39"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A710F54-52D0-49F8-9E1A-BF1633A18AD7}" autoFormatId="16" applyNumberFormats="0" applyBorderFormats="0" applyFontFormats="0" applyPatternFormats="0" applyAlignmentFormats="0" applyWidthHeightFormats="0">
  <queryTableRefresh nextId="29" unboundColumnsRight="1">
    <queryTableFields count="27">
      <queryTableField id="1" name="IdAfiliado" tableColumnId="1"/>
      <queryTableField id="2" name="DocumentoAfiliado" tableColumnId="2"/>
      <queryTableField id="3" name="idTipoDocumento" tableColumnId="3"/>
      <queryTableField id="4" name="NombreAfiliado" tableColumnId="4"/>
      <queryTableField id="5" name="ApellidoAfiliado" tableColumnId="5"/>
      <queryTableField id="6" name="CelularAfiliado" tableColumnId="6"/>
      <queryTableField id="7" name="EmailAfiliado" tableColumnId="7"/>
      <queryTableField id="8" name="ClaveAfiliado" tableColumnId="8"/>
      <queryTableField id="9" name="DireccionAfiliado" tableColumnId="9"/>
      <queryTableField id="10" name="idCiudadAfiliado" tableColumnId="10"/>
      <queryTableField id="11" name="FechaNacAfiliado" tableColumnId="11"/>
      <queryTableField id="12" name="FotoAfiliado" tableColumnId="12"/>
      <queryTableField id="13" name="idGenero" tableColumnId="13"/>
      <queryTableField id="14" name="idSede" tableColumnId="14"/>
      <queryTableField id="15" name="idEstadoCivilAfiliado" tableColumnId="15"/>
      <queryTableField id="16" name="idEmpresaAfil" tableColumnId="16"/>
      <queryTableField id="17" name="idProfesion" tableColumnId="17"/>
      <queryTableField id="18" name="idEPS" tableColumnId="18"/>
      <queryTableField id="19" name="ResponsableAfiliado" tableColumnId="19"/>
      <queryTableField id="20" name="Parentesco" tableColumnId="20"/>
      <queryTableField id="21" name="ContactoAfiliado" tableColumnId="21"/>
      <queryTableField id="22" name="idUsuario" tableColumnId="22"/>
      <queryTableField id="23" name="EstadoAfiliado" tableColumnId="23"/>
      <queryTableField id="24" name="FechaAfiliacion" tableColumnId="24"/>
      <queryTableField id="25" name="ProcesoActFecNac" tableColumnId="25"/>
      <queryTableField id="26" name="ObservacionesParQ" tableColumnId="26"/>
      <queryTableField id="27" dataBound="0" tableColumnId="2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3AA1A92E-DF4F-443F-B0C7-ED7451CB0A80}" autoFormatId="16" applyNumberFormats="0" applyBorderFormats="0" applyFontFormats="0" applyPatternFormats="0" applyAlignmentFormats="0" applyWidthHeightFormats="0">
  <queryTableRefresh nextId="28">
    <queryTableFields count="27">
      <queryTableField id="1" name="IdAfiliado" tableColumnId="1"/>
      <queryTableField id="2" name="DocumentoAfiliado" tableColumnId="2"/>
      <queryTableField id="3" name="idTipoDocumento" tableColumnId="3"/>
      <queryTableField id="4" name="NombreAfiliado" tableColumnId="4"/>
      <queryTableField id="5" name="ApellidoAfiliado" tableColumnId="5"/>
      <queryTableField id="6" name="CelularAfiliado" tableColumnId="6"/>
      <queryTableField id="7" name="EmailAfiliado" tableColumnId="7"/>
      <queryTableField id="8" name="ClaveAfiliado" tableColumnId="8"/>
      <queryTableField id="9" name="DireccionAfiliado" tableColumnId="9"/>
      <queryTableField id="10" name="idCiudadAfiliado" tableColumnId="10"/>
      <queryTableField id="11" name="FechaNacAfiliado" tableColumnId="11"/>
      <queryTableField id="12" name="FotoAfiliado" tableColumnId="12"/>
      <queryTableField id="13" name="idGenero" tableColumnId="13"/>
      <queryTableField id="14" name="idSede" tableColumnId="14"/>
      <queryTableField id="15" name="idEstadoCivilAfiliado" tableColumnId="15"/>
      <queryTableField id="16" name="idEmpresaAfil" tableColumnId="16"/>
      <queryTableField id="17" name="idProfesion" tableColumnId="17"/>
      <queryTableField id="18" name="idEPS" tableColumnId="18"/>
      <queryTableField id="19" name="ResponsableAfiliado" tableColumnId="19"/>
      <queryTableField id="20" name="Parentesco" tableColumnId="20"/>
      <queryTableField id="21" name="ContactoAfiliado" tableColumnId="21"/>
      <queryTableField id="22" name="idUsuario" tableColumnId="22"/>
      <queryTableField id="23" name="EstadoAfiliado" tableColumnId="23"/>
      <queryTableField id="24" name="FechaAfiliacion" tableColumnId="24"/>
      <queryTableField id="25" name="ProcesoActFecNac" tableColumnId="25"/>
      <queryTableField id="26" name="ObservacionesParQ" tableColumnId="26"/>
      <queryTableField id="27" name="idPlan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B45401-3F6C-43C6-8CE6-C98CE5F19D0B}" name="AfiliadosRecurrentes" displayName="AfiliadosRecurrentes" ref="A1:AA225" tableType="queryTable" totalsRowShown="0">
  <autoFilter ref="A1:AA225" xr:uid="{9CB45401-3F6C-43C6-8CE6-C98CE5F19D0B}"/>
  <tableColumns count="27">
    <tableColumn id="1" xr3:uid="{3BD813CE-B741-41C1-8A17-D0B0332A9A11}" uniqueName="1" name="IdAfiliado" queryTableFieldId="1"/>
    <tableColumn id="2" xr3:uid="{C97041B8-8EEC-4988-B8C1-BF06AE386123}" uniqueName="2" name="DocumentoAfiliado" queryTableFieldId="2"/>
    <tableColumn id="3" xr3:uid="{C0E5B7E0-9D72-46F2-B040-65D0D00523C9}" uniqueName="3" name="idTipoDocumento" queryTableFieldId="3"/>
    <tableColumn id="4" xr3:uid="{8D20C789-4BD1-4867-AF91-0579D56DE632}" uniqueName="4" name="NombreAfiliado" queryTableFieldId="4" dataDxfId="38"/>
    <tableColumn id="5" xr3:uid="{DAB84BCA-BE8D-4D1A-974A-02FB3BF1F993}" uniqueName="5" name="ApellidoAfiliado" queryTableFieldId="5" dataDxfId="37"/>
    <tableColumn id="6" xr3:uid="{9B5296FA-9A26-4BFB-935D-EDD74316D9C6}" uniqueName="6" name="CelularAfiliado" queryTableFieldId="6"/>
    <tableColumn id="7" xr3:uid="{B633E1C0-3567-48C1-AB01-07034395F3EA}" uniqueName="7" name="EmailAfiliado" queryTableFieldId="7" dataDxfId="36"/>
    <tableColumn id="8" xr3:uid="{4A13BE0C-AFD6-47B4-91D7-EF2F9ED94C04}" uniqueName="8" name="ClaveAfiliado" queryTableFieldId="8" dataDxfId="35"/>
    <tableColumn id="9" xr3:uid="{1EBD6BB6-E514-4423-AA15-23B9D94125D5}" uniqueName="9" name="DireccionAfiliado" queryTableFieldId="9" dataDxfId="34"/>
    <tableColumn id="10" xr3:uid="{E6304293-70A2-4876-A512-BF7B1AFED874}" uniqueName="10" name="idCiudadAfiliado" queryTableFieldId="10" dataDxfId="33"/>
    <tableColumn id="11" xr3:uid="{BBED8EF2-0D0D-49F1-95B8-E8DB07C05BC6}" uniqueName="11" name="FechaNacAfiliado" queryTableFieldId="11" dataDxfId="32"/>
    <tableColumn id="12" xr3:uid="{90DAF569-D58F-4688-AD23-5E09BA512626}" uniqueName="12" name="FotoAfiliado" queryTableFieldId="12" dataDxfId="31"/>
    <tableColumn id="13" xr3:uid="{AC29836D-5623-49FE-8E48-68BDDBFA5F5F}" uniqueName="13" name="idGenero" queryTableFieldId="13"/>
    <tableColumn id="14" xr3:uid="{6BDF60B1-F42F-4113-87FB-D4857A9B11DA}" uniqueName="14" name="idSede" queryTableFieldId="14"/>
    <tableColumn id="15" xr3:uid="{64447B97-060D-4DD8-9326-C0896479FFE6}" uniqueName="15" name="idEstadoCivilAfiliado" queryTableFieldId="15" dataDxfId="30"/>
    <tableColumn id="16" xr3:uid="{81A1EFED-10F5-4A09-9AE4-EAEFBD9CF3F2}" uniqueName="16" name="idEmpresaAfil" queryTableFieldId="16" dataDxfId="29"/>
    <tableColumn id="17" xr3:uid="{4992F591-2F5D-4466-8825-851A42EE05FB}" uniqueName="17" name="idProfesion" queryTableFieldId="17" dataDxfId="28"/>
    <tableColumn id="18" xr3:uid="{B28BD730-F644-49DC-AEF3-C472FAB2E1DC}" uniqueName="18" name="idEPS" queryTableFieldId="18" dataDxfId="27"/>
    <tableColumn id="19" xr3:uid="{4856B033-4A7A-436E-8C64-9496E4C7526B}" uniqueName="19" name="ResponsableAfiliado" queryTableFieldId="19" dataDxfId="26"/>
    <tableColumn id="20" xr3:uid="{A2F10754-343D-4F11-8B68-D45348AF4B93}" uniqueName="20" name="Parentesco" queryTableFieldId="20" dataDxfId="25"/>
    <tableColumn id="21" xr3:uid="{44A321C4-2A30-4926-9C8A-36861633F314}" uniqueName="21" name="ContactoAfiliado" queryTableFieldId="21" dataDxfId="24"/>
    <tableColumn id="22" xr3:uid="{F2A5180B-402A-48B5-AA2F-597D64349750}" uniqueName="22" name="idUsuario" queryTableFieldId="22" dataDxfId="23"/>
    <tableColumn id="23" xr3:uid="{F2DB11CA-AAAA-4A51-8529-B536ADB300B9}" uniqueName="23" name="EstadoAfiliado" queryTableFieldId="23" dataDxfId="22"/>
    <tableColumn id="24" xr3:uid="{894F970B-1874-476D-AF90-50996DBC79B5}" uniqueName="24" name="FechaAfiliacion" queryTableFieldId="24" dataDxfId="21"/>
    <tableColumn id="25" xr3:uid="{2794DEF9-1596-413B-9134-5DEBCEA384B3}" uniqueName="25" name="ProcesoActFecNac" queryTableFieldId="25"/>
    <tableColumn id="26" xr3:uid="{204973F9-9085-4D71-BA92-A7D5C4A12CC4}" uniqueName="26" name="ObservacionesParQ" queryTableFieldId="26" dataDxfId="20"/>
    <tableColumn id="27" xr3:uid="{9AD82738-6FE5-4E25-AEE7-6B1FBF1E9775}" uniqueName="27" name="Columna1" queryTableFieldId="27" dataDxfId="19">
      <calculatedColumnFormula>IFERROR(VLOOKUP(B2,BD_Clez_Premigracion!C:C,1,FALSE),"No encontrado")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E428D0-5390-4BEC-A9AD-33ECF4C38E03}" name="AfiliadosRecurrentesNuevos" displayName="AfiliadosRecurrentesNuevos" ref="A1:AA79" tableType="queryTable" totalsRowShown="0">
  <autoFilter ref="A1:AA79" xr:uid="{FFE428D0-5390-4BEC-A9AD-33ECF4C38E03}"/>
  <tableColumns count="27">
    <tableColumn id="1" xr3:uid="{E6589027-1951-40E7-964C-A80668D18FA2}" uniqueName="1" name="IdAfiliado" queryTableFieldId="1"/>
    <tableColumn id="2" xr3:uid="{7ABAB5DD-B20E-4E6E-92A3-945595DA5D2D}" uniqueName="2" name="DocumentoAfiliado" queryTableFieldId="2"/>
    <tableColumn id="3" xr3:uid="{1654FEF0-CBE5-4999-8A3E-9686A882032D}" uniqueName="3" name="idTipoDocumento" queryTableFieldId="3"/>
    <tableColumn id="4" xr3:uid="{B32ECC36-0FED-4587-882A-650463B4DA1F}" uniqueName="4" name="NombreAfiliado" queryTableFieldId="4" dataDxfId="18"/>
    <tableColumn id="5" xr3:uid="{CDFC4D47-52F6-4267-A25F-6EEA572E9B64}" uniqueName="5" name="ApellidoAfiliado" queryTableFieldId="5" dataDxfId="17"/>
    <tableColumn id="6" xr3:uid="{26AA433A-8804-4110-95DD-005F1A62F422}" uniqueName="6" name="CelularAfiliado" queryTableFieldId="6"/>
    <tableColumn id="7" xr3:uid="{9C279F0A-054C-4274-A45D-CD97381BED61}" uniqueName="7" name="EmailAfiliado" queryTableFieldId="7" dataDxfId="16"/>
    <tableColumn id="8" xr3:uid="{A39FD7AB-027F-4ADB-9289-E2C8C26682C0}" uniqueName="8" name="ClaveAfiliado" queryTableFieldId="8" dataDxfId="15"/>
    <tableColumn id="9" xr3:uid="{D5EF7E38-8670-4537-A7A9-B4570A745D92}" uniqueName="9" name="DireccionAfiliado" queryTableFieldId="9" dataDxfId="14"/>
    <tableColumn id="10" xr3:uid="{3DE86495-B485-496B-BCF5-6C22ECFDA2C5}" uniqueName="10" name="idCiudadAfiliado" queryTableFieldId="10" dataDxfId="13"/>
    <tableColumn id="11" xr3:uid="{FDE15093-B023-421F-A10B-0C0543C65B89}" uniqueName="11" name="FechaNacAfiliado" queryTableFieldId="11" dataDxfId="12"/>
    <tableColumn id="12" xr3:uid="{02839251-C7B6-48EC-A6B0-2D766D718148}" uniqueName="12" name="FotoAfiliado" queryTableFieldId="12" dataDxfId="11"/>
    <tableColumn id="13" xr3:uid="{E16F0A3B-4DCB-490C-AE98-B665BD7B51C5}" uniqueName="13" name="idGenero" queryTableFieldId="13"/>
    <tableColumn id="14" xr3:uid="{29A84C44-A784-410C-B43C-1FC0E56C243F}" uniqueName="14" name="idSede" queryTableFieldId="14"/>
    <tableColumn id="15" xr3:uid="{A9A83C4C-F682-486A-A7FA-B4625926AF7A}" uniqueName="15" name="idEstadoCivilAfiliado" queryTableFieldId="15" dataDxfId="10"/>
    <tableColumn id="16" xr3:uid="{91BEF3F9-B8CC-4C94-B3C2-393E1472DEA9}" uniqueName="16" name="idEmpresaAfil" queryTableFieldId="16" dataDxfId="9"/>
    <tableColumn id="17" xr3:uid="{AEDDB4CB-31E7-4963-A596-113FF6BD4B7E}" uniqueName="17" name="idProfesion" queryTableFieldId="17" dataDxfId="8"/>
    <tableColumn id="18" xr3:uid="{CEB6B9A4-5AF9-494D-95FF-933C3A0946FA}" uniqueName="18" name="idEPS" queryTableFieldId="18" dataDxfId="7"/>
    <tableColumn id="19" xr3:uid="{E67A8FCE-E5CD-404D-9AC9-75069201204D}" uniqueName="19" name="ResponsableAfiliado" queryTableFieldId="19" dataDxfId="6"/>
    <tableColumn id="20" xr3:uid="{F9353C2F-5B69-4AA0-A91E-136FE7916E23}" uniqueName="20" name="Parentesco" queryTableFieldId="20" dataDxfId="5"/>
    <tableColumn id="21" xr3:uid="{20BF5AA0-1056-41CB-8E48-80189AC1B33A}" uniqueName="21" name="ContactoAfiliado" queryTableFieldId="21" dataDxfId="4"/>
    <tableColumn id="22" xr3:uid="{A2E0D19E-A3D6-45BC-BF9F-20870758B729}" uniqueName="22" name="idUsuario" queryTableFieldId="22" dataDxfId="3"/>
    <tableColumn id="23" xr3:uid="{04D83DDC-48FF-47B4-8FE8-27A13FC1DB88}" uniqueName="23" name="EstadoAfiliado" queryTableFieldId="23" dataDxfId="2"/>
    <tableColumn id="24" xr3:uid="{5AA42342-3AB7-48CD-B8B8-71B1DB09C19A}" uniqueName="24" name="FechaAfiliacion" queryTableFieldId="24" dataDxfId="1"/>
    <tableColumn id="25" xr3:uid="{ADC9DA82-13DE-444A-85CD-6E0AE9DBC84B}" uniqueName="25" name="ProcesoActFecNac" queryTableFieldId="25"/>
    <tableColumn id="26" xr3:uid="{846746EE-EB6A-40D3-9806-3DAD7A1439DB}" uniqueName="26" name="ObservacionesParQ" queryTableFieldId="26" dataDxfId="0"/>
    <tableColumn id="27" xr3:uid="{E4A053BD-3D3A-41AA-9C6D-1C5918064BBD}" uniqueName="27" name="idPlan" queryTableFieldId="2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88F1B-D23A-4725-B6B2-222137DD67BF}">
  <dimension ref="A1:AC561"/>
  <sheetViews>
    <sheetView topLeftCell="W1" workbookViewId="0">
      <selection activeCell="AC1" sqref="AC1:AC1048576"/>
    </sheetView>
  </sheetViews>
  <sheetFormatPr baseColWidth="10" defaultColWidth="9.140625" defaultRowHeight="12.75" x14ac:dyDescent="0.25"/>
  <cols>
    <col min="1" max="1" width="11.7109375" bestFit="1" customWidth="1"/>
    <col min="2" max="2" width="36.5703125" bestFit="1" customWidth="1"/>
    <col min="3" max="3" width="12" bestFit="1" customWidth="1"/>
    <col min="4" max="4" width="36.5703125" bestFit="1" customWidth="1"/>
    <col min="5" max="5" width="28.5703125" bestFit="1" customWidth="1"/>
    <col min="6" max="6" width="36.5703125" bestFit="1" customWidth="1"/>
    <col min="7" max="7" width="4.42578125" bestFit="1" customWidth="1"/>
    <col min="8" max="8" width="11.7109375" bestFit="1" customWidth="1"/>
    <col min="9" max="9" width="36.5703125" bestFit="1" customWidth="1"/>
    <col min="10" max="10" width="7.5703125" bestFit="1" customWidth="1"/>
    <col min="11" max="11" width="5.7109375" bestFit="1" customWidth="1"/>
    <col min="12" max="12" width="5.140625" bestFit="1" customWidth="1"/>
    <col min="13" max="14" width="8" bestFit="1" customWidth="1"/>
    <col min="15" max="15" width="34.28515625" bestFit="1" customWidth="1"/>
    <col min="16" max="16" width="15.42578125" bestFit="1" customWidth="1"/>
    <col min="17" max="17" width="19.5703125" bestFit="1" customWidth="1"/>
    <col min="18" max="18" width="33.5703125" bestFit="1" customWidth="1"/>
    <col min="19" max="19" width="8.5703125" bestFit="1" customWidth="1"/>
    <col min="20" max="20" width="31" bestFit="1" customWidth="1"/>
    <col min="21" max="21" width="12.7109375" bestFit="1" customWidth="1"/>
    <col min="22" max="22" width="5.5703125" bestFit="1" customWidth="1"/>
    <col min="23" max="23" width="36.5703125" bestFit="1" customWidth="1"/>
    <col min="24" max="24" width="12.140625" bestFit="1" customWidth="1"/>
    <col min="25" max="25" width="10.140625" bestFit="1" customWidth="1"/>
    <col min="26" max="26" width="11.5703125" bestFit="1" customWidth="1"/>
    <col min="27" max="27" width="17.28515625" bestFit="1" customWidth="1"/>
    <col min="28" max="28" width="6.28515625" bestFit="1" customWidth="1"/>
    <col min="29" max="29" width="21.140625" customWidth="1"/>
  </cols>
  <sheetData>
    <row r="1" spans="1:29" s="1" customFormat="1" ht="11.2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1" t="s">
        <v>2409</v>
      </c>
    </row>
    <row r="2" spans="1:29" ht="45" x14ac:dyDescent="0.25">
      <c r="A2" s="3" t="s">
        <v>28</v>
      </c>
      <c r="B2" s="3" t="s">
        <v>29</v>
      </c>
      <c r="C2" s="3">
        <v>1091652989</v>
      </c>
      <c r="D2" s="3" t="s">
        <v>30</v>
      </c>
      <c r="E2" s="3">
        <v>3115583628</v>
      </c>
      <c r="F2" s="3" t="s">
        <v>31</v>
      </c>
      <c r="G2" s="3">
        <v>89</v>
      </c>
      <c r="H2" s="3" t="s">
        <v>32</v>
      </c>
      <c r="I2" s="3" t="s">
        <v>33</v>
      </c>
      <c r="J2" s="3" t="s">
        <v>34</v>
      </c>
      <c r="K2" s="3"/>
      <c r="L2" s="3"/>
      <c r="M2" s="3"/>
      <c r="N2" s="3" t="s">
        <v>35</v>
      </c>
      <c r="O2" s="3" t="s">
        <v>36</v>
      </c>
      <c r="P2" s="4">
        <v>45946.763715277775</v>
      </c>
      <c r="Q2" s="3">
        <v>7777777</v>
      </c>
      <c r="R2" s="3" t="s">
        <v>37</v>
      </c>
      <c r="S2" s="3"/>
      <c r="T2" s="3"/>
      <c r="U2" s="5" t="s">
        <v>38</v>
      </c>
      <c r="V2" s="3"/>
      <c r="W2" s="3" t="s">
        <v>39</v>
      </c>
      <c r="X2" s="3" t="s">
        <v>40</v>
      </c>
      <c r="Y2" s="3" t="s">
        <v>41</v>
      </c>
      <c r="Z2" s="3" t="s">
        <v>42</v>
      </c>
      <c r="AA2" s="3" t="s">
        <v>43</v>
      </c>
      <c r="AB2" s="3" t="s">
        <v>40</v>
      </c>
      <c r="AC2" t="str">
        <f>IFERROR(VLOOKUP(C2,MigradosEfectivamente!B:B,1,FALSE),"No encontrado")</f>
        <v>No encontrado</v>
      </c>
    </row>
    <row r="3" spans="1:29" ht="45" x14ac:dyDescent="0.25">
      <c r="A3" s="3" t="s">
        <v>44</v>
      </c>
      <c r="B3" s="3" t="s">
        <v>45</v>
      </c>
      <c r="C3" s="3">
        <v>1050918470</v>
      </c>
      <c r="D3" s="3" t="s">
        <v>46</v>
      </c>
      <c r="E3" s="3">
        <v>3243181439</v>
      </c>
      <c r="F3" s="3" t="s">
        <v>47</v>
      </c>
      <c r="G3" s="3">
        <v>89</v>
      </c>
      <c r="H3" s="3" t="s">
        <v>48</v>
      </c>
      <c r="I3" s="3" t="s">
        <v>33</v>
      </c>
      <c r="J3" s="3" t="s">
        <v>34</v>
      </c>
      <c r="K3" s="3"/>
      <c r="L3" s="3"/>
      <c r="M3" s="3"/>
      <c r="N3" s="3" t="s">
        <v>35</v>
      </c>
      <c r="O3" s="3" t="s">
        <v>36</v>
      </c>
      <c r="P3" s="4">
        <v>45946.712604166663</v>
      </c>
      <c r="Q3" s="3">
        <v>7777777</v>
      </c>
      <c r="R3" s="3" t="s">
        <v>37</v>
      </c>
      <c r="S3" s="3"/>
      <c r="T3" s="3"/>
      <c r="U3" s="5" t="s">
        <v>38</v>
      </c>
      <c r="V3" s="3"/>
      <c r="W3" s="3" t="s">
        <v>39</v>
      </c>
      <c r="X3" s="3" t="s">
        <v>40</v>
      </c>
      <c r="Y3" s="3" t="s">
        <v>41</v>
      </c>
      <c r="Z3" s="3" t="s">
        <v>42</v>
      </c>
      <c r="AA3" s="3" t="s">
        <v>49</v>
      </c>
      <c r="AB3" s="3" t="s">
        <v>40</v>
      </c>
      <c r="AC3" t="str">
        <f>IFERROR(VLOOKUP(C3,MigradosEfectivamente!B:B,1,FALSE),"No encontrado")</f>
        <v>No encontrado</v>
      </c>
    </row>
    <row r="4" spans="1:29" ht="45" x14ac:dyDescent="0.25">
      <c r="A4" s="3" t="s">
        <v>50</v>
      </c>
      <c r="B4" s="3" t="s">
        <v>51</v>
      </c>
      <c r="C4" s="3">
        <v>1030542921</v>
      </c>
      <c r="D4" s="3" t="s">
        <v>52</v>
      </c>
      <c r="E4" s="3">
        <v>3196218540</v>
      </c>
      <c r="F4" s="3" t="s">
        <v>53</v>
      </c>
      <c r="G4" s="3">
        <v>89</v>
      </c>
      <c r="H4" s="3" t="s">
        <v>54</v>
      </c>
      <c r="I4" s="3" t="s">
        <v>33</v>
      </c>
      <c r="J4" s="3" t="s">
        <v>34</v>
      </c>
      <c r="K4" s="3"/>
      <c r="L4" s="3"/>
      <c r="M4" s="3"/>
      <c r="N4" s="3" t="s">
        <v>35</v>
      </c>
      <c r="O4" s="3" t="s">
        <v>36</v>
      </c>
      <c r="P4" s="4">
        <v>45946.682835648149</v>
      </c>
      <c r="Q4" s="3">
        <v>7777777</v>
      </c>
      <c r="R4" s="3" t="s">
        <v>37</v>
      </c>
      <c r="S4" s="3"/>
      <c r="T4" s="3"/>
      <c r="U4" s="5" t="s">
        <v>38</v>
      </c>
      <c r="V4" s="3"/>
      <c r="W4" s="3" t="s">
        <v>39</v>
      </c>
      <c r="X4" s="3" t="s">
        <v>41</v>
      </c>
      <c r="Y4" s="3" t="s">
        <v>41</v>
      </c>
      <c r="Z4" s="3" t="s">
        <v>42</v>
      </c>
      <c r="AA4" s="3" t="s">
        <v>49</v>
      </c>
      <c r="AB4" s="3" t="s">
        <v>40</v>
      </c>
      <c r="AC4">
        <f>IFERROR(VLOOKUP(C4,MigradosEfectivamente!B:B,1,FALSE),"No encontrado")</f>
        <v>1030542921</v>
      </c>
    </row>
    <row r="5" spans="1:29" ht="60" x14ac:dyDescent="0.25">
      <c r="A5" s="3" t="s">
        <v>55</v>
      </c>
      <c r="B5" s="3" t="s">
        <v>56</v>
      </c>
      <c r="C5" s="3">
        <v>1004823152</v>
      </c>
      <c r="D5" s="3" t="s">
        <v>57</v>
      </c>
      <c r="E5" s="3">
        <v>3224708688</v>
      </c>
      <c r="F5" s="3" t="s">
        <v>58</v>
      </c>
      <c r="G5" s="3">
        <v>89</v>
      </c>
      <c r="H5" s="3" t="s">
        <v>59</v>
      </c>
      <c r="I5" s="3" t="s">
        <v>33</v>
      </c>
      <c r="J5" s="3" t="s">
        <v>34</v>
      </c>
      <c r="K5" s="3"/>
      <c r="L5" s="3"/>
      <c r="M5" s="3"/>
      <c r="N5" s="3" t="s">
        <v>35</v>
      </c>
      <c r="O5" s="3" t="s">
        <v>36</v>
      </c>
      <c r="P5" s="4">
        <v>45945.586377314816</v>
      </c>
      <c r="Q5" s="3">
        <v>7777777</v>
      </c>
      <c r="R5" s="3" t="s">
        <v>37</v>
      </c>
      <c r="S5" s="3"/>
      <c r="T5" s="3"/>
      <c r="U5" s="5" t="s">
        <v>38</v>
      </c>
      <c r="V5" s="3"/>
      <c r="W5" s="3" t="s">
        <v>60</v>
      </c>
      <c r="X5" s="3" t="s">
        <v>40</v>
      </c>
      <c r="Y5" s="3" t="s">
        <v>41</v>
      </c>
      <c r="Z5" s="3" t="s">
        <v>42</v>
      </c>
      <c r="AA5" s="3" t="s">
        <v>43</v>
      </c>
      <c r="AB5" s="3" t="s">
        <v>40</v>
      </c>
      <c r="AC5" t="str">
        <f>IFERROR(VLOOKUP(C5,MigradosEfectivamente!B:B,1,FALSE),"No encontrado")</f>
        <v>No encontrado</v>
      </c>
    </row>
    <row r="6" spans="1:29" ht="45" x14ac:dyDescent="0.25">
      <c r="A6" s="3" t="s">
        <v>61</v>
      </c>
      <c r="B6" s="3" t="s">
        <v>62</v>
      </c>
      <c r="C6" s="3">
        <v>1002295958</v>
      </c>
      <c r="D6" s="3" t="s">
        <v>46</v>
      </c>
      <c r="E6" s="3" t="s">
        <v>63</v>
      </c>
      <c r="F6" s="3" t="s">
        <v>64</v>
      </c>
      <c r="G6" s="3">
        <v>89</v>
      </c>
      <c r="H6" s="3" t="s">
        <v>48</v>
      </c>
      <c r="I6" s="3" t="s">
        <v>33</v>
      </c>
      <c r="J6" s="3" t="s">
        <v>34</v>
      </c>
      <c r="K6" s="3"/>
      <c r="L6" s="3"/>
      <c r="M6" s="3"/>
      <c r="N6" s="3" t="s">
        <v>35</v>
      </c>
      <c r="O6" s="3" t="s">
        <v>36</v>
      </c>
      <c r="P6" s="4">
        <v>45944.48609953704</v>
      </c>
      <c r="Q6" s="3">
        <v>7777777</v>
      </c>
      <c r="R6" s="3" t="s">
        <v>37</v>
      </c>
      <c r="S6" s="3"/>
      <c r="T6" s="3"/>
      <c r="U6" s="5" t="s">
        <v>38</v>
      </c>
      <c r="V6" s="3"/>
      <c r="W6" s="3" t="s">
        <v>39</v>
      </c>
      <c r="X6" s="3" t="s">
        <v>40</v>
      </c>
      <c r="Y6" s="3" t="s">
        <v>41</v>
      </c>
      <c r="Z6" s="3" t="s">
        <v>42</v>
      </c>
      <c r="AA6" s="3" t="s">
        <v>43</v>
      </c>
      <c r="AB6" s="3" t="s">
        <v>40</v>
      </c>
      <c r="AC6" t="str">
        <f>IFERROR(VLOOKUP(C6,MigradosEfectivamente!B:B,1,FALSE),"No encontrado")</f>
        <v>No encontrado</v>
      </c>
    </row>
    <row r="7" spans="1:29" ht="60" x14ac:dyDescent="0.25">
      <c r="A7" s="3" t="s">
        <v>65</v>
      </c>
      <c r="B7" s="3" t="s">
        <v>66</v>
      </c>
      <c r="C7" s="3">
        <v>1092349320</v>
      </c>
      <c r="D7" s="3" t="s">
        <v>67</v>
      </c>
      <c r="E7" s="3">
        <v>3132352718</v>
      </c>
      <c r="F7" s="3" t="s">
        <v>68</v>
      </c>
      <c r="G7" s="3">
        <v>89</v>
      </c>
      <c r="H7" s="3" t="s">
        <v>69</v>
      </c>
      <c r="I7" s="3" t="s">
        <v>33</v>
      </c>
      <c r="J7" s="3" t="s">
        <v>34</v>
      </c>
      <c r="K7" s="3"/>
      <c r="L7" s="3"/>
      <c r="M7" s="3"/>
      <c r="N7" s="3" t="s">
        <v>35</v>
      </c>
      <c r="O7" s="3" t="s">
        <v>36</v>
      </c>
      <c r="P7" s="4">
        <v>45940.584976851853</v>
      </c>
      <c r="Q7" s="3">
        <v>7777777</v>
      </c>
      <c r="R7" s="3" t="s">
        <v>37</v>
      </c>
      <c r="S7" s="3"/>
      <c r="T7" s="3"/>
      <c r="U7" s="5" t="s">
        <v>38</v>
      </c>
      <c r="V7" s="3"/>
      <c r="W7" s="3" t="s">
        <v>60</v>
      </c>
      <c r="X7" s="3" t="s">
        <v>40</v>
      </c>
      <c r="Y7" s="3" t="s">
        <v>41</v>
      </c>
      <c r="Z7" s="3" t="s">
        <v>70</v>
      </c>
      <c r="AA7" s="3" t="s">
        <v>49</v>
      </c>
      <c r="AB7" s="3" t="s">
        <v>40</v>
      </c>
      <c r="AC7" t="str">
        <f>IFERROR(VLOOKUP(C7,MigradosEfectivamente!B:B,1,FALSE),"No encontrado")</f>
        <v>No encontrado</v>
      </c>
    </row>
    <row r="8" spans="1:29" ht="45" x14ac:dyDescent="0.25">
      <c r="A8" s="3" t="s">
        <v>71</v>
      </c>
      <c r="B8" s="3" t="s">
        <v>72</v>
      </c>
      <c r="C8" s="3">
        <v>1050918718</v>
      </c>
      <c r="D8" s="3" t="s">
        <v>46</v>
      </c>
      <c r="E8" s="3">
        <v>3128293091</v>
      </c>
      <c r="F8" s="3" t="s">
        <v>73</v>
      </c>
      <c r="G8" s="3">
        <v>89</v>
      </c>
      <c r="H8" s="3" t="s">
        <v>48</v>
      </c>
      <c r="I8" s="3" t="s">
        <v>33</v>
      </c>
      <c r="J8" s="3" t="s">
        <v>34</v>
      </c>
      <c r="K8" s="3"/>
      <c r="L8" s="3"/>
      <c r="M8" s="3"/>
      <c r="N8" s="3" t="s">
        <v>35</v>
      </c>
      <c r="O8" s="3" t="s">
        <v>36</v>
      </c>
      <c r="P8" s="4">
        <v>45940.48951388889</v>
      </c>
      <c r="Q8" s="3">
        <v>7777777</v>
      </c>
      <c r="R8" s="3" t="s">
        <v>37</v>
      </c>
      <c r="S8" s="3"/>
      <c r="T8" s="3"/>
      <c r="U8" s="5" t="s">
        <v>38</v>
      </c>
      <c r="V8" s="3"/>
      <c r="W8" s="3" t="s">
        <v>39</v>
      </c>
      <c r="X8" s="3" t="s">
        <v>40</v>
      </c>
      <c r="Y8" s="3" t="s">
        <v>41</v>
      </c>
      <c r="Z8" s="3" t="s">
        <v>42</v>
      </c>
      <c r="AA8" s="3" t="s">
        <v>49</v>
      </c>
      <c r="AB8" s="3" t="s">
        <v>40</v>
      </c>
      <c r="AC8" t="str">
        <f>IFERROR(VLOOKUP(C8,MigradosEfectivamente!B:B,1,FALSE),"No encontrado")</f>
        <v>No encontrado</v>
      </c>
    </row>
    <row r="9" spans="1:29" ht="60" x14ac:dyDescent="0.25">
      <c r="A9" s="3" t="s">
        <v>74</v>
      </c>
      <c r="B9" s="3" t="s">
        <v>75</v>
      </c>
      <c r="C9" s="3">
        <v>1142716057</v>
      </c>
      <c r="D9" s="3" t="s">
        <v>76</v>
      </c>
      <c r="E9" s="3">
        <v>3205124628</v>
      </c>
      <c r="F9" s="3" t="s">
        <v>77</v>
      </c>
      <c r="G9" s="3">
        <v>89</v>
      </c>
      <c r="H9" s="3" t="s">
        <v>48</v>
      </c>
      <c r="I9" s="3" t="s">
        <v>33</v>
      </c>
      <c r="J9" s="3" t="s">
        <v>34</v>
      </c>
      <c r="K9" s="3"/>
      <c r="L9" s="3"/>
      <c r="M9" s="3"/>
      <c r="N9" s="3" t="s">
        <v>35</v>
      </c>
      <c r="O9" s="3" t="s">
        <v>36</v>
      </c>
      <c r="P9" s="4">
        <v>45940.337800925925</v>
      </c>
      <c r="Q9" s="3">
        <v>7777777</v>
      </c>
      <c r="R9" s="3" t="s">
        <v>37</v>
      </c>
      <c r="S9" s="3"/>
      <c r="T9" s="3"/>
      <c r="U9" s="5" t="s">
        <v>38</v>
      </c>
      <c r="V9" s="3"/>
      <c r="W9" s="3" t="s">
        <v>60</v>
      </c>
      <c r="X9" s="3" t="s">
        <v>40</v>
      </c>
      <c r="Y9" s="3" t="s">
        <v>41</v>
      </c>
      <c r="Z9" s="3" t="s">
        <v>42</v>
      </c>
      <c r="AA9" s="3" t="s">
        <v>49</v>
      </c>
      <c r="AB9" s="3" t="s">
        <v>40</v>
      </c>
      <c r="AC9" t="str">
        <f>IFERROR(VLOOKUP(C9,MigradosEfectivamente!B:B,1,FALSE),"No encontrado")</f>
        <v>No encontrado</v>
      </c>
    </row>
    <row r="10" spans="1:29" ht="60" x14ac:dyDescent="0.25">
      <c r="A10" s="3" t="s">
        <v>78</v>
      </c>
      <c r="B10" s="3" t="s">
        <v>79</v>
      </c>
      <c r="C10" s="3">
        <v>1005025225</v>
      </c>
      <c r="D10" s="3" t="s">
        <v>80</v>
      </c>
      <c r="E10" s="3">
        <v>3022747153</v>
      </c>
      <c r="F10" s="3" t="s">
        <v>81</v>
      </c>
      <c r="G10" s="3">
        <v>99</v>
      </c>
      <c r="H10" s="3" t="s">
        <v>69</v>
      </c>
      <c r="I10" s="3" t="s">
        <v>82</v>
      </c>
      <c r="J10" s="3" t="s">
        <v>34</v>
      </c>
      <c r="K10" s="3"/>
      <c r="L10" s="3"/>
      <c r="M10" s="3"/>
      <c r="N10" s="3" t="s">
        <v>35</v>
      </c>
      <c r="O10" s="3" t="s">
        <v>83</v>
      </c>
      <c r="P10" s="4">
        <v>45940.336886574078</v>
      </c>
      <c r="Q10" s="3">
        <v>7777777</v>
      </c>
      <c r="R10" s="3" t="s">
        <v>37</v>
      </c>
      <c r="S10" s="3"/>
      <c r="T10" s="3"/>
      <c r="U10" s="5" t="s">
        <v>38</v>
      </c>
      <c r="V10" s="3"/>
      <c r="W10" s="3" t="s">
        <v>60</v>
      </c>
      <c r="X10" s="3" t="s">
        <v>41</v>
      </c>
      <c r="Y10" s="3" t="s">
        <v>41</v>
      </c>
      <c r="Z10" s="3" t="s">
        <v>42</v>
      </c>
      <c r="AA10" s="3" t="s">
        <v>49</v>
      </c>
      <c r="AB10" s="3" t="s">
        <v>40</v>
      </c>
      <c r="AC10" t="str">
        <f>IFERROR(VLOOKUP(C10,MigradosEfectivamente!B:B,1,FALSE),"No encontrado")</f>
        <v>No encontrado</v>
      </c>
    </row>
    <row r="11" spans="1:29" ht="60" x14ac:dyDescent="0.25">
      <c r="A11" s="3" t="s">
        <v>84</v>
      </c>
      <c r="B11" s="3" t="s">
        <v>85</v>
      </c>
      <c r="C11" s="3">
        <v>5004717783</v>
      </c>
      <c r="D11" s="3" t="s">
        <v>86</v>
      </c>
      <c r="E11" s="3">
        <v>3017550017</v>
      </c>
      <c r="F11" s="3" t="s">
        <v>87</v>
      </c>
      <c r="G11" s="3">
        <v>99</v>
      </c>
      <c r="H11" s="3" t="s">
        <v>69</v>
      </c>
      <c r="I11" s="3" t="s">
        <v>82</v>
      </c>
      <c r="J11" s="3" t="s">
        <v>34</v>
      </c>
      <c r="K11" s="3"/>
      <c r="L11" s="3"/>
      <c r="M11" s="3"/>
      <c r="N11" s="3" t="s">
        <v>35</v>
      </c>
      <c r="O11" s="3" t="s">
        <v>83</v>
      </c>
      <c r="P11" s="4">
        <v>45940.33357638889</v>
      </c>
      <c r="Q11" s="3">
        <v>7777777</v>
      </c>
      <c r="R11" s="3" t="s">
        <v>37</v>
      </c>
      <c r="S11" s="3"/>
      <c r="T11" s="3"/>
      <c r="U11" s="5" t="s">
        <v>38</v>
      </c>
      <c r="V11" s="3"/>
      <c r="W11" s="3" t="s">
        <v>60</v>
      </c>
      <c r="X11" s="3" t="s">
        <v>40</v>
      </c>
      <c r="Y11" s="3" t="s">
        <v>41</v>
      </c>
      <c r="Z11" s="3" t="s">
        <v>42</v>
      </c>
      <c r="AA11" s="3" t="s">
        <v>49</v>
      </c>
      <c r="AB11" s="3" t="s">
        <v>40</v>
      </c>
      <c r="AC11" t="str">
        <f>IFERROR(VLOOKUP(C11,MigradosEfectivamente!B:B,1,FALSE),"No encontrado")</f>
        <v>No encontrado</v>
      </c>
    </row>
    <row r="12" spans="1:29" ht="60" x14ac:dyDescent="0.25">
      <c r="A12" s="3" t="s">
        <v>88</v>
      </c>
      <c r="B12" s="3" t="s">
        <v>89</v>
      </c>
      <c r="C12" s="3">
        <v>1098801968</v>
      </c>
      <c r="D12" s="3" t="s">
        <v>90</v>
      </c>
      <c r="E12" s="3">
        <v>3186962347</v>
      </c>
      <c r="F12" s="3" t="s">
        <v>91</v>
      </c>
      <c r="G12" s="3">
        <v>89</v>
      </c>
      <c r="H12" s="3" t="s">
        <v>54</v>
      </c>
      <c r="I12" s="3" t="s">
        <v>33</v>
      </c>
      <c r="J12" s="3" t="s">
        <v>34</v>
      </c>
      <c r="K12" s="3"/>
      <c r="L12" s="3"/>
      <c r="M12" s="3"/>
      <c r="N12" s="3" t="s">
        <v>35</v>
      </c>
      <c r="O12" s="3" t="s">
        <v>36</v>
      </c>
      <c r="P12" s="4">
        <v>45939.876354166663</v>
      </c>
      <c r="Q12" s="3">
        <v>7777777</v>
      </c>
      <c r="R12" s="3" t="s">
        <v>37</v>
      </c>
      <c r="S12" s="3"/>
      <c r="T12" s="3"/>
      <c r="U12" s="5" t="s">
        <v>38</v>
      </c>
      <c r="V12" s="3"/>
      <c r="W12" s="3" t="s">
        <v>60</v>
      </c>
      <c r="X12" s="3" t="s">
        <v>40</v>
      </c>
      <c r="Y12" s="3" t="s">
        <v>41</v>
      </c>
      <c r="Z12" s="3" t="s">
        <v>92</v>
      </c>
      <c r="AA12" s="3" t="s">
        <v>49</v>
      </c>
      <c r="AB12" s="3" t="s">
        <v>40</v>
      </c>
      <c r="AC12" t="str">
        <f>IFERROR(VLOOKUP(C12,MigradosEfectivamente!B:B,1,FALSE),"No encontrado")</f>
        <v>No encontrado</v>
      </c>
    </row>
    <row r="13" spans="1:29" ht="60" x14ac:dyDescent="0.25">
      <c r="A13" s="3" t="s">
        <v>93</v>
      </c>
      <c r="B13" s="3" t="s">
        <v>94</v>
      </c>
      <c r="C13" s="3">
        <v>1097093302</v>
      </c>
      <c r="D13" s="3" t="s">
        <v>95</v>
      </c>
      <c r="E13" s="3">
        <v>3184407645</v>
      </c>
      <c r="F13" s="3" t="s">
        <v>96</v>
      </c>
      <c r="G13" s="3">
        <v>89</v>
      </c>
      <c r="H13" s="3" t="s">
        <v>97</v>
      </c>
      <c r="I13" s="3" t="s">
        <v>33</v>
      </c>
      <c r="J13" s="3" t="s">
        <v>34</v>
      </c>
      <c r="K13" s="3"/>
      <c r="L13" s="3"/>
      <c r="M13" s="3"/>
      <c r="N13" s="3" t="s">
        <v>35</v>
      </c>
      <c r="O13" s="3" t="s">
        <v>36</v>
      </c>
      <c r="P13" s="4">
        <v>45939.875949074078</v>
      </c>
      <c r="Q13" s="3">
        <v>7777777</v>
      </c>
      <c r="R13" s="3" t="s">
        <v>37</v>
      </c>
      <c r="S13" s="3"/>
      <c r="T13" s="3"/>
      <c r="U13" s="5" t="s">
        <v>38</v>
      </c>
      <c r="V13" s="3"/>
      <c r="W13" s="3" t="s">
        <v>60</v>
      </c>
      <c r="X13" s="3" t="s">
        <v>40</v>
      </c>
      <c r="Y13" s="3" t="s">
        <v>40</v>
      </c>
      <c r="Z13" s="3" t="s">
        <v>42</v>
      </c>
      <c r="AA13" s="3" t="s">
        <v>49</v>
      </c>
      <c r="AB13" s="3" t="s">
        <v>40</v>
      </c>
      <c r="AC13" t="str">
        <f>IFERROR(VLOOKUP(C13,MigradosEfectivamente!B:B,1,FALSE),"No encontrado")</f>
        <v>No encontrado</v>
      </c>
    </row>
    <row r="14" spans="1:29" ht="60" x14ac:dyDescent="0.25">
      <c r="A14" s="3" t="s">
        <v>98</v>
      </c>
      <c r="B14" s="3" t="s">
        <v>99</v>
      </c>
      <c r="C14" s="3">
        <v>1098724742</v>
      </c>
      <c r="D14" s="3" t="s">
        <v>100</v>
      </c>
      <c r="E14" s="3">
        <v>3155151739</v>
      </c>
      <c r="F14" s="3" t="s">
        <v>101</v>
      </c>
      <c r="G14" s="3">
        <v>89</v>
      </c>
      <c r="H14" s="3" t="s">
        <v>59</v>
      </c>
      <c r="I14" s="3" t="s">
        <v>33</v>
      </c>
      <c r="J14" s="3" t="s">
        <v>34</v>
      </c>
      <c r="K14" s="3"/>
      <c r="L14" s="3"/>
      <c r="M14" s="3"/>
      <c r="N14" s="3" t="s">
        <v>35</v>
      </c>
      <c r="O14" s="3" t="s">
        <v>36</v>
      </c>
      <c r="P14" s="4">
        <v>45939.586944444447</v>
      </c>
      <c r="Q14" s="3">
        <v>7777777</v>
      </c>
      <c r="R14" s="3" t="s">
        <v>37</v>
      </c>
      <c r="S14" s="3"/>
      <c r="T14" s="3"/>
      <c r="U14" s="5" t="s">
        <v>38</v>
      </c>
      <c r="V14" s="3"/>
      <c r="W14" s="3" t="s">
        <v>60</v>
      </c>
      <c r="X14" s="3" t="s">
        <v>41</v>
      </c>
      <c r="Y14" s="3" t="s">
        <v>41</v>
      </c>
      <c r="Z14" s="3" t="s">
        <v>42</v>
      </c>
      <c r="AA14" s="3" t="s">
        <v>49</v>
      </c>
      <c r="AB14" s="3" t="s">
        <v>40</v>
      </c>
      <c r="AC14" t="str">
        <f>IFERROR(VLOOKUP(C14,MigradosEfectivamente!B:B,1,FALSE),"No encontrado")</f>
        <v>No encontrado</v>
      </c>
    </row>
    <row r="15" spans="1:29" ht="60" x14ac:dyDescent="0.25">
      <c r="A15" s="3" t="s">
        <v>102</v>
      </c>
      <c r="B15" s="3" t="s">
        <v>103</v>
      </c>
      <c r="C15" s="3">
        <v>1007469498</v>
      </c>
      <c r="D15" s="3" t="s">
        <v>104</v>
      </c>
      <c r="E15" s="3">
        <v>3013919131</v>
      </c>
      <c r="F15" s="3" t="s">
        <v>105</v>
      </c>
      <c r="G15" s="3">
        <v>89</v>
      </c>
      <c r="H15" s="3" t="s">
        <v>97</v>
      </c>
      <c r="I15" s="3" t="s">
        <v>33</v>
      </c>
      <c r="J15" s="3" t="s">
        <v>34</v>
      </c>
      <c r="K15" s="3"/>
      <c r="L15" s="3"/>
      <c r="M15" s="3"/>
      <c r="N15" s="3" t="s">
        <v>35</v>
      </c>
      <c r="O15" s="3" t="s">
        <v>36</v>
      </c>
      <c r="P15" s="4">
        <v>45939.586331018516</v>
      </c>
      <c r="Q15" s="3">
        <v>7777777</v>
      </c>
      <c r="R15" s="3" t="s">
        <v>37</v>
      </c>
      <c r="S15" s="3"/>
      <c r="T15" s="3"/>
      <c r="U15" s="5" t="s">
        <v>38</v>
      </c>
      <c r="V15" s="3"/>
      <c r="W15" s="3" t="s">
        <v>60</v>
      </c>
      <c r="X15" s="3" t="s">
        <v>40</v>
      </c>
      <c r="Y15" s="3" t="s">
        <v>41</v>
      </c>
      <c r="Z15" s="3" t="s">
        <v>42</v>
      </c>
      <c r="AA15" s="3" t="s">
        <v>49</v>
      </c>
      <c r="AB15" s="3" t="s">
        <v>40</v>
      </c>
      <c r="AC15" t="str">
        <f>IFERROR(VLOOKUP(C15,MigradosEfectivamente!B:B,1,FALSE),"No encontrado")</f>
        <v>No encontrado</v>
      </c>
    </row>
    <row r="16" spans="1:29" ht="60" x14ac:dyDescent="0.25">
      <c r="A16" s="3" t="s">
        <v>106</v>
      </c>
      <c r="B16" s="3" t="s">
        <v>107</v>
      </c>
      <c r="C16" s="3">
        <v>1005326464</v>
      </c>
      <c r="D16" s="3" t="s">
        <v>108</v>
      </c>
      <c r="E16" s="3">
        <v>3158275763</v>
      </c>
      <c r="F16" s="3" t="s">
        <v>109</v>
      </c>
      <c r="G16" s="3">
        <v>99</v>
      </c>
      <c r="H16" s="3" t="s">
        <v>110</v>
      </c>
      <c r="I16" s="3" t="s">
        <v>82</v>
      </c>
      <c r="J16" s="3" t="s">
        <v>34</v>
      </c>
      <c r="K16" s="3"/>
      <c r="L16" s="3"/>
      <c r="M16" s="3"/>
      <c r="N16" s="3" t="s">
        <v>35</v>
      </c>
      <c r="O16" s="3" t="s">
        <v>83</v>
      </c>
      <c r="P16" s="4">
        <v>45939.337094907409</v>
      </c>
      <c r="Q16" s="3">
        <v>7777777</v>
      </c>
      <c r="R16" s="3" t="s">
        <v>37</v>
      </c>
      <c r="S16" s="3"/>
      <c r="T16" s="3"/>
      <c r="U16" s="5" t="s">
        <v>38</v>
      </c>
      <c r="V16" s="3"/>
      <c r="W16" s="3" t="s">
        <v>60</v>
      </c>
      <c r="X16" s="3" t="s">
        <v>40</v>
      </c>
      <c r="Y16" s="3" t="s">
        <v>41</v>
      </c>
      <c r="Z16" s="3" t="s">
        <v>42</v>
      </c>
      <c r="AA16" s="3" t="s">
        <v>49</v>
      </c>
      <c r="AB16" s="3" t="s">
        <v>40</v>
      </c>
      <c r="AC16" t="str">
        <f>IFERROR(VLOOKUP(C16,MigradosEfectivamente!B:B,1,FALSE),"No encontrado")</f>
        <v>No encontrado</v>
      </c>
    </row>
    <row r="17" spans="1:29" ht="60" x14ac:dyDescent="0.25">
      <c r="A17" s="3" t="s">
        <v>111</v>
      </c>
      <c r="B17" s="3" t="s">
        <v>112</v>
      </c>
      <c r="C17" s="3">
        <v>1098650766</v>
      </c>
      <c r="D17" s="3" t="s">
        <v>104</v>
      </c>
      <c r="E17" s="3" t="s">
        <v>113</v>
      </c>
      <c r="F17" s="3" t="s">
        <v>114</v>
      </c>
      <c r="G17" s="3">
        <v>89</v>
      </c>
      <c r="H17" s="3" t="s">
        <v>110</v>
      </c>
      <c r="I17" s="3" t="s">
        <v>33</v>
      </c>
      <c r="J17" s="3" t="s">
        <v>34</v>
      </c>
      <c r="K17" s="3"/>
      <c r="L17" s="3"/>
      <c r="M17" s="3"/>
      <c r="N17" s="3" t="s">
        <v>35</v>
      </c>
      <c r="O17" s="3" t="s">
        <v>36</v>
      </c>
      <c r="P17" s="4">
        <v>45939.336921296293</v>
      </c>
      <c r="Q17" s="3">
        <v>7777777</v>
      </c>
      <c r="R17" s="3" t="s">
        <v>37</v>
      </c>
      <c r="S17" s="3"/>
      <c r="T17" s="3"/>
      <c r="U17" s="5" t="s">
        <v>38</v>
      </c>
      <c r="V17" s="3"/>
      <c r="W17" s="3" t="s">
        <v>60</v>
      </c>
      <c r="X17" s="3" t="s">
        <v>40</v>
      </c>
      <c r="Y17" s="3" t="s">
        <v>41</v>
      </c>
      <c r="Z17" s="3" t="s">
        <v>42</v>
      </c>
      <c r="AA17" s="3" t="s">
        <v>49</v>
      </c>
      <c r="AB17" s="3" t="s">
        <v>40</v>
      </c>
      <c r="AC17" t="str">
        <f>IFERROR(VLOOKUP(C17,MigradosEfectivamente!B:B,1,FALSE),"No encontrado")</f>
        <v>No encontrado</v>
      </c>
    </row>
    <row r="18" spans="1:29" ht="60" x14ac:dyDescent="0.25">
      <c r="A18" s="3" t="s">
        <v>115</v>
      </c>
      <c r="B18" s="3" t="s">
        <v>116</v>
      </c>
      <c r="C18" s="3">
        <v>72159538</v>
      </c>
      <c r="D18" s="3" t="s">
        <v>117</v>
      </c>
      <c r="E18" s="3">
        <v>3165357372</v>
      </c>
      <c r="F18" s="3" t="s">
        <v>118</v>
      </c>
      <c r="G18" s="3">
        <v>89</v>
      </c>
      <c r="H18" s="3" t="s">
        <v>69</v>
      </c>
      <c r="I18" s="3" t="s">
        <v>119</v>
      </c>
      <c r="J18" s="3" t="s">
        <v>34</v>
      </c>
      <c r="K18" s="3"/>
      <c r="L18" s="3"/>
      <c r="M18" s="3"/>
      <c r="N18" s="3" t="s">
        <v>35</v>
      </c>
      <c r="O18" s="3" t="s">
        <v>36</v>
      </c>
      <c r="P18" s="4">
        <v>45939.336759259262</v>
      </c>
      <c r="Q18" s="3">
        <v>7777777</v>
      </c>
      <c r="R18" s="3" t="s">
        <v>37</v>
      </c>
      <c r="S18" s="3"/>
      <c r="T18" s="3"/>
      <c r="U18" s="5" t="s">
        <v>38</v>
      </c>
      <c r="V18" s="3"/>
      <c r="W18" s="3" t="s">
        <v>60</v>
      </c>
      <c r="X18" s="3" t="s">
        <v>40</v>
      </c>
      <c r="Y18" s="3" t="s">
        <v>40</v>
      </c>
      <c r="Z18" s="3" t="s">
        <v>42</v>
      </c>
      <c r="AA18" s="3" t="s">
        <v>49</v>
      </c>
      <c r="AB18" s="3" t="s">
        <v>40</v>
      </c>
      <c r="AC18" t="str">
        <f>IFERROR(VLOOKUP(C18,MigradosEfectivamente!B:B,1,FALSE),"No encontrado")</f>
        <v>No encontrado</v>
      </c>
    </row>
    <row r="19" spans="1:29" ht="60" x14ac:dyDescent="0.25">
      <c r="A19" s="3" t="s">
        <v>120</v>
      </c>
      <c r="B19" s="3" t="s">
        <v>121</v>
      </c>
      <c r="C19" s="3">
        <v>5692729</v>
      </c>
      <c r="D19" s="3" t="s">
        <v>122</v>
      </c>
      <c r="E19" s="3">
        <v>3185468442</v>
      </c>
      <c r="F19" s="3" t="s">
        <v>123</v>
      </c>
      <c r="G19" s="3">
        <v>99</v>
      </c>
      <c r="H19" s="3" t="s">
        <v>110</v>
      </c>
      <c r="I19" s="3" t="s">
        <v>82</v>
      </c>
      <c r="J19" s="3" t="s">
        <v>34</v>
      </c>
      <c r="K19" s="3"/>
      <c r="L19" s="3"/>
      <c r="M19" s="3"/>
      <c r="N19" s="3" t="s">
        <v>35</v>
      </c>
      <c r="O19" s="3" t="s">
        <v>83</v>
      </c>
      <c r="P19" s="4">
        <v>45939.334016203706</v>
      </c>
      <c r="Q19" s="3">
        <v>7777777</v>
      </c>
      <c r="R19" s="3" t="s">
        <v>37</v>
      </c>
      <c r="S19" s="3"/>
      <c r="T19" s="3"/>
      <c r="U19" s="5" t="s">
        <v>38</v>
      </c>
      <c r="V19" s="3"/>
      <c r="W19" s="3" t="s">
        <v>60</v>
      </c>
      <c r="X19" s="3" t="s">
        <v>40</v>
      </c>
      <c r="Y19" s="3" t="s">
        <v>41</v>
      </c>
      <c r="Z19" s="3" t="s">
        <v>42</v>
      </c>
      <c r="AA19" s="3" t="s">
        <v>49</v>
      </c>
      <c r="AB19" s="3" t="s">
        <v>40</v>
      </c>
      <c r="AC19" t="str">
        <f>IFERROR(VLOOKUP(C19,MigradosEfectivamente!B:B,1,FALSE),"No encontrado")</f>
        <v>No encontrado</v>
      </c>
    </row>
    <row r="20" spans="1:29" ht="60" x14ac:dyDescent="0.25">
      <c r="A20" s="3" t="s">
        <v>124</v>
      </c>
      <c r="B20" s="3" t="s">
        <v>125</v>
      </c>
      <c r="C20" s="3">
        <v>1098764267</v>
      </c>
      <c r="D20" s="3" t="s">
        <v>126</v>
      </c>
      <c r="E20" s="3">
        <v>3177195428</v>
      </c>
      <c r="F20" s="3" t="s">
        <v>127</v>
      </c>
      <c r="G20" s="3">
        <v>89</v>
      </c>
      <c r="H20" s="3" t="s">
        <v>97</v>
      </c>
      <c r="I20" s="3" t="s">
        <v>82</v>
      </c>
      <c r="J20" s="3" t="s">
        <v>34</v>
      </c>
      <c r="K20" s="3"/>
      <c r="L20" s="3"/>
      <c r="M20" s="3"/>
      <c r="N20" s="3" t="s">
        <v>35</v>
      </c>
      <c r="O20" s="3" t="s">
        <v>36</v>
      </c>
      <c r="P20" s="4">
        <v>45939.333518518521</v>
      </c>
      <c r="Q20" s="3">
        <v>7777777</v>
      </c>
      <c r="R20" s="3" t="s">
        <v>37</v>
      </c>
      <c r="S20" s="3"/>
      <c r="T20" s="3"/>
      <c r="U20" s="5" t="s">
        <v>38</v>
      </c>
      <c r="V20" s="3"/>
      <c r="W20" s="3" t="s">
        <v>60</v>
      </c>
      <c r="X20" s="3" t="s">
        <v>40</v>
      </c>
      <c r="Y20" s="3" t="s">
        <v>40</v>
      </c>
      <c r="Z20" s="3" t="s">
        <v>42</v>
      </c>
      <c r="AA20" s="3" t="s">
        <v>49</v>
      </c>
      <c r="AB20" s="3" t="s">
        <v>40</v>
      </c>
      <c r="AC20" t="str">
        <f>IFERROR(VLOOKUP(C20,MigradosEfectivamente!B:B,1,FALSE),"No encontrado")</f>
        <v>No encontrado</v>
      </c>
    </row>
    <row r="21" spans="1:29" ht="60" x14ac:dyDescent="0.25">
      <c r="A21" s="3" t="s">
        <v>128</v>
      </c>
      <c r="B21" s="3" t="s">
        <v>129</v>
      </c>
      <c r="C21" s="3">
        <v>1091352306</v>
      </c>
      <c r="D21" s="3" t="s">
        <v>130</v>
      </c>
      <c r="E21" s="3">
        <v>3104194505</v>
      </c>
      <c r="F21" s="3" t="s">
        <v>131</v>
      </c>
      <c r="G21" s="3">
        <v>89</v>
      </c>
      <c r="H21" s="3" t="s">
        <v>69</v>
      </c>
      <c r="I21" s="3" t="s">
        <v>82</v>
      </c>
      <c r="J21" s="3" t="s">
        <v>34</v>
      </c>
      <c r="K21" s="3"/>
      <c r="L21" s="3"/>
      <c r="M21" s="3"/>
      <c r="N21" s="3" t="s">
        <v>35</v>
      </c>
      <c r="O21" s="3" t="s">
        <v>36</v>
      </c>
      <c r="P21" s="4">
        <v>45938.587546296294</v>
      </c>
      <c r="Q21" s="3">
        <v>7777777</v>
      </c>
      <c r="R21" s="3" t="s">
        <v>37</v>
      </c>
      <c r="S21" s="3"/>
      <c r="T21" s="3"/>
      <c r="U21" s="5" t="s">
        <v>38</v>
      </c>
      <c r="V21" s="3"/>
      <c r="W21" s="3" t="s">
        <v>60</v>
      </c>
      <c r="X21" s="3" t="s">
        <v>41</v>
      </c>
      <c r="Y21" s="3" t="s">
        <v>41</v>
      </c>
      <c r="Z21" s="3" t="s">
        <v>42</v>
      </c>
      <c r="AA21" s="3" t="s">
        <v>49</v>
      </c>
      <c r="AB21" s="3" t="s">
        <v>40</v>
      </c>
      <c r="AC21" t="str">
        <f>IFERROR(VLOOKUP(C21,MigradosEfectivamente!B:B,1,FALSE),"No encontrado")</f>
        <v>No encontrado</v>
      </c>
    </row>
    <row r="22" spans="1:29" ht="45" x14ac:dyDescent="0.25">
      <c r="A22" s="3" t="s">
        <v>132</v>
      </c>
      <c r="B22" s="3" t="s">
        <v>133</v>
      </c>
      <c r="C22" s="3">
        <v>1093751069</v>
      </c>
      <c r="D22" s="3" t="s">
        <v>134</v>
      </c>
      <c r="E22" s="3">
        <v>3182330939</v>
      </c>
      <c r="F22" s="3" t="s">
        <v>135</v>
      </c>
      <c r="G22" s="3">
        <v>349</v>
      </c>
      <c r="H22" s="3" t="s">
        <v>136</v>
      </c>
      <c r="I22" s="3" t="s">
        <v>137</v>
      </c>
      <c r="J22" s="3" t="s">
        <v>34</v>
      </c>
      <c r="K22" s="3"/>
      <c r="L22" s="3"/>
      <c r="M22" s="3"/>
      <c r="N22" s="3" t="s">
        <v>35</v>
      </c>
      <c r="O22" s="3" t="s">
        <v>138</v>
      </c>
      <c r="P22" s="4">
        <v>45938.441886574074</v>
      </c>
      <c r="Q22" s="3">
        <v>7777777</v>
      </c>
      <c r="R22" s="3" t="s">
        <v>37</v>
      </c>
      <c r="S22" s="3"/>
      <c r="T22" s="3"/>
      <c r="U22" s="5" t="s">
        <v>38</v>
      </c>
      <c r="V22" s="3"/>
      <c r="W22" s="3" t="s">
        <v>39</v>
      </c>
      <c r="X22" s="3" t="s">
        <v>40</v>
      </c>
      <c r="Y22" s="3" t="s">
        <v>41</v>
      </c>
      <c r="Z22" s="3" t="s">
        <v>92</v>
      </c>
      <c r="AA22" s="3" t="s">
        <v>49</v>
      </c>
      <c r="AB22" s="3" t="s">
        <v>40</v>
      </c>
      <c r="AC22" t="str">
        <f>IFERROR(VLOOKUP(C22,MigradosEfectivamente!B:B,1,FALSE),"No encontrado")</f>
        <v>No encontrado</v>
      </c>
    </row>
    <row r="23" spans="1:29" ht="60" x14ac:dyDescent="0.25">
      <c r="A23" s="3" t="s">
        <v>139</v>
      </c>
      <c r="B23" s="3" t="s">
        <v>140</v>
      </c>
      <c r="C23" s="3">
        <v>1091356063</v>
      </c>
      <c r="D23" s="3" t="s">
        <v>122</v>
      </c>
      <c r="E23" s="3">
        <v>3017290615</v>
      </c>
      <c r="F23" s="3" t="s">
        <v>141</v>
      </c>
      <c r="G23" s="3">
        <v>89</v>
      </c>
      <c r="H23" s="3" t="s">
        <v>69</v>
      </c>
      <c r="I23" s="3" t="s">
        <v>82</v>
      </c>
      <c r="J23" s="3" t="s">
        <v>34</v>
      </c>
      <c r="K23" s="3"/>
      <c r="L23" s="3"/>
      <c r="M23" s="3"/>
      <c r="N23" s="3" t="s">
        <v>35</v>
      </c>
      <c r="O23" s="3" t="s">
        <v>36</v>
      </c>
      <c r="P23" s="4">
        <v>45938.338055555556</v>
      </c>
      <c r="Q23" s="3">
        <v>7777777</v>
      </c>
      <c r="R23" s="3" t="s">
        <v>37</v>
      </c>
      <c r="S23" s="3"/>
      <c r="T23" s="3"/>
      <c r="U23" s="5" t="s">
        <v>38</v>
      </c>
      <c r="V23" s="3"/>
      <c r="W23" s="3" t="s">
        <v>60</v>
      </c>
      <c r="X23" s="3" t="s">
        <v>40</v>
      </c>
      <c r="Y23" s="3" t="s">
        <v>41</v>
      </c>
      <c r="Z23" s="3" t="s">
        <v>42</v>
      </c>
      <c r="AA23" s="3" t="s">
        <v>49</v>
      </c>
      <c r="AB23" s="3" t="s">
        <v>40</v>
      </c>
      <c r="AC23" t="str">
        <f>IFERROR(VLOOKUP(C23,MigradosEfectivamente!B:B,1,FALSE),"No encontrado")</f>
        <v>No encontrado</v>
      </c>
    </row>
    <row r="24" spans="1:29" ht="60" x14ac:dyDescent="0.25">
      <c r="A24" s="3" t="s">
        <v>142</v>
      </c>
      <c r="B24" s="3" t="s">
        <v>143</v>
      </c>
      <c r="C24" s="3">
        <v>1096702367</v>
      </c>
      <c r="D24" s="3" t="s">
        <v>90</v>
      </c>
      <c r="E24" s="3">
        <v>3125072124</v>
      </c>
      <c r="F24" s="3" t="s">
        <v>144</v>
      </c>
      <c r="G24" s="3">
        <v>89</v>
      </c>
      <c r="H24" s="3" t="s">
        <v>32</v>
      </c>
      <c r="I24" s="3" t="s">
        <v>33</v>
      </c>
      <c r="J24" s="3" t="s">
        <v>34</v>
      </c>
      <c r="K24" s="3"/>
      <c r="L24" s="3"/>
      <c r="M24" s="3"/>
      <c r="N24" s="3" t="s">
        <v>35</v>
      </c>
      <c r="O24" s="3" t="s">
        <v>36</v>
      </c>
      <c r="P24" s="4">
        <v>45938.337106481478</v>
      </c>
      <c r="Q24" s="3">
        <v>7777777</v>
      </c>
      <c r="R24" s="3" t="s">
        <v>37</v>
      </c>
      <c r="S24" s="3"/>
      <c r="T24" s="3"/>
      <c r="U24" s="5" t="s">
        <v>38</v>
      </c>
      <c r="V24" s="3"/>
      <c r="W24" s="3" t="s">
        <v>60</v>
      </c>
      <c r="X24" s="3" t="s">
        <v>40</v>
      </c>
      <c r="Y24" s="3" t="s">
        <v>41</v>
      </c>
      <c r="Z24" s="3" t="s">
        <v>42</v>
      </c>
      <c r="AA24" s="3" t="s">
        <v>49</v>
      </c>
      <c r="AB24" s="3" t="s">
        <v>40</v>
      </c>
      <c r="AC24" t="str">
        <f>IFERROR(VLOOKUP(C24,MigradosEfectivamente!B:B,1,FALSE),"No encontrado")</f>
        <v>No encontrado</v>
      </c>
    </row>
    <row r="25" spans="1:29" ht="60" x14ac:dyDescent="0.25">
      <c r="A25" s="3" t="s">
        <v>145</v>
      </c>
      <c r="B25" s="3" t="s">
        <v>146</v>
      </c>
      <c r="C25" s="3">
        <v>1096803416</v>
      </c>
      <c r="D25" s="3" t="s">
        <v>90</v>
      </c>
      <c r="E25" s="3">
        <v>3102142101</v>
      </c>
      <c r="F25" s="3" t="s">
        <v>147</v>
      </c>
      <c r="G25" s="3">
        <v>89</v>
      </c>
      <c r="H25" s="3" t="s">
        <v>32</v>
      </c>
      <c r="I25" s="3" t="s">
        <v>33</v>
      </c>
      <c r="J25" s="3" t="s">
        <v>34</v>
      </c>
      <c r="K25" s="3"/>
      <c r="L25" s="3"/>
      <c r="M25" s="3"/>
      <c r="N25" s="3" t="s">
        <v>35</v>
      </c>
      <c r="O25" s="3" t="s">
        <v>36</v>
      </c>
      <c r="P25" s="4">
        <v>45938.335243055553</v>
      </c>
      <c r="Q25" s="3">
        <v>7777777</v>
      </c>
      <c r="R25" s="3" t="s">
        <v>37</v>
      </c>
      <c r="S25" s="3"/>
      <c r="T25" s="3"/>
      <c r="U25" s="5" t="s">
        <v>38</v>
      </c>
      <c r="V25" s="3"/>
      <c r="W25" s="3" t="s">
        <v>60</v>
      </c>
      <c r="X25" s="3" t="s">
        <v>40</v>
      </c>
      <c r="Y25" s="3" t="s">
        <v>41</v>
      </c>
      <c r="Z25" s="3" t="s">
        <v>42</v>
      </c>
      <c r="AA25" s="3" t="s">
        <v>49</v>
      </c>
      <c r="AB25" s="3" t="s">
        <v>40</v>
      </c>
      <c r="AC25" t="str">
        <f>IFERROR(VLOOKUP(C25,MigradosEfectivamente!B:B,1,FALSE),"No encontrado")</f>
        <v>No encontrado</v>
      </c>
    </row>
    <row r="26" spans="1:29" ht="60" x14ac:dyDescent="0.25">
      <c r="A26" s="3" t="s">
        <v>148</v>
      </c>
      <c r="B26" s="3" t="s">
        <v>149</v>
      </c>
      <c r="C26" s="3">
        <v>1003232144</v>
      </c>
      <c r="D26" s="3" t="s">
        <v>136</v>
      </c>
      <c r="E26" s="3">
        <v>3007622574</v>
      </c>
      <c r="F26" s="3" t="s">
        <v>150</v>
      </c>
      <c r="G26" s="3">
        <v>99</v>
      </c>
      <c r="H26" s="3" t="s">
        <v>136</v>
      </c>
      <c r="I26" s="3" t="s">
        <v>82</v>
      </c>
      <c r="J26" s="3" t="s">
        <v>34</v>
      </c>
      <c r="K26" s="3"/>
      <c r="L26" s="3"/>
      <c r="M26" s="3"/>
      <c r="N26" s="3" t="s">
        <v>35</v>
      </c>
      <c r="O26" s="3" t="s">
        <v>83</v>
      </c>
      <c r="P26" s="4">
        <v>45937.878206018519</v>
      </c>
      <c r="Q26" s="3">
        <v>7777777</v>
      </c>
      <c r="R26" s="3" t="s">
        <v>37</v>
      </c>
      <c r="S26" s="3"/>
      <c r="T26" s="3"/>
      <c r="U26" s="5" t="s">
        <v>38</v>
      </c>
      <c r="V26" s="3"/>
      <c r="W26" s="3" t="s">
        <v>60</v>
      </c>
      <c r="X26" s="3" t="s">
        <v>41</v>
      </c>
      <c r="Y26" s="3" t="s">
        <v>41</v>
      </c>
      <c r="Z26" s="3" t="s">
        <v>42</v>
      </c>
      <c r="AA26" s="3" t="s">
        <v>43</v>
      </c>
      <c r="AB26" s="3" t="s">
        <v>40</v>
      </c>
      <c r="AC26" t="str">
        <f>IFERROR(VLOOKUP(C26,MigradosEfectivamente!B:B,1,FALSE),"No encontrado")</f>
        <v>No encontrado</v>
      </c>
    </row>
    <row r="27" spans="1:29" ht="45" x14ac:dyDescent="0.25">
      <c r="A27" s="3" t="s">
        <v>151</v>
      </c>
      <c r="B27" s="3" t="s">
        <v>152</v>
      </c>
      <c r="C27" s="3">
        <v>91269649</v>
      </c>
      <c r="D27" s="3" t="s">
        <v>153</v>
      </c>
      <c r="E27" s="3">
        <v>3013085558</v>
      </c>
      <c r="F27" s="3" t="s">
        <v>154</v>
      </c>
      <c r="G27" s="3">
        <v>89</v>
      </c>
      <c r="H27" s="3" t="s">
        <v>48</v>
      </c>
      <c r="I27" s="3" t="s">
        <v>33</v>
      </c>
      <c r="J27" s="3" t="s">
        <v>34</v>
      </c>
      <c r="K27" s="3"/>
      <c r="L27" s="3"/>
      <c r="M27" s="3"/>
      <c r="N27" s="3" t="s">
        <v>35</v>
      </c>
      <c r="O27" s="3" t="s">
        <v>36</v>
      </c>
      <c r="P27" s="4">
        <v>45937.773182870369</v>
      </c>
      <c r="Q27" s="3">
        <v>7777777</v>
      </c>
      <c r="R27" s="3" t="s">
        <v>37</v>
      </c>
      <c r="S27" s="3"/>
      <c r="T27" s="3"/>
      <c r="U27" s="5" t="s">
        <v>38</v>
      </c>
      <c r="V27" s="3"/>
      <c r="W27" s="3" t="s">
        <v>39</v>
      </c>
      <c r="X27" s="3" t="s">
        <v>40</v>
      </c>
      <c r="Y27" s="3" t="s">
        <v>41</v>
      </c>
      <c r="Z27" s="3"/>
      <c r="AA27" s="3" t="s">
        <v>49</v>
      </c>
      <c r="AB27" s="3" t="s">
        <v>40</v>
      </c>
      <c r="AC27" t="str">
        <f>IFERROR(VLOOKUP(C27,MigradosEfectivamente!B:B,1,FALSE),"No encontrado")</f>
        <v>No encontrado</v>
      </c>
    </row>
    <row r="28" spans="1:29" ht="60" x14ac:dyDescent="0.25">
      <c r="A28" s="3" t="s">
        <v>155</v>
      </c>
      <c r="B28" s="3" t="s">
        <v>156</v>
      </c>
      <c r="C28" s="3">
        <v>1098791712</v>
      </c>
      <c r="D28" s="3" t="s">
        <v>157</v>
      </c>
      <c r="E28" s="3">
        <v>3172858734</v>
      </c>
      <c r="F28" s="3" t="s">
        <v>158</v>
      </c>
      <c r="G28" s="3">
        <v>89</v>
      </c>
      <c r="H28" s="3" t="s">
        <v>54</v>
      </c>
      <c r="I28" s="3" t="s">
        <v>82</v>
      </c>
      <c r="J28" s="3" t="s">
        <v>34</v>
      </c>
      <c r="K28" s="3"/>
      <c r="L28" s="3"/>
      <c r="M28" s="3"/>
      <c r="N28" s="3" t="s">
        <v>35</v>
      </c>
      <c r="O28" s="3" t="s">
        <v>36</v>
      </c>
      <c r="P28" s="4">
        <v>45937.587407407409</v>
      </c>
      <c r="Q28" s="3">
        <v>7777777</v>
      </c>
      <c r="R28" s="3" t="s">
        <v>37</v>
      </c>
      <c r="S28" s="3"/>
      <c r="T28" s="3"/>
      <c r="U28" s="5" t="s">
        <v>38</v>
      </c>
      <c r="V28" s="3"/>
      <c r="W28" s="3" t="s">
        <v>60</v>
      </c>
      <c r="X28" s="3" t="s">
        <v>41</v>
      </c>
      <c r="Y28" s="3" t="s">
        <v>41</v>
      </c>
      <c r="Z28" s="3" t="s">
        <v>42</v>
      </c>
      <c r="AA28" s="3" t="s">
        <v>49</v>
      </c>
      <c r="AB28" s="3" t="s">
        <v>40</v>
      </c>
      <c r="AC28" t="str">
        <f>IFERROR(VLOOKUP(C28,MigradosEfectivamente!B:B,1,FALSE),"No encontrado")</f>
        <v>No encontrado</v>
      </c>
    </row>
    <row r="29" spans="1:29" ht="60" x14ac:dyDescent="0.25">
      <c r="A29" s="3" t="s">
        <v>159</v>
      </c>
      <c r="B29" s="3" t="s">
        <v>160</v>
      </c>
      <c r="C29" s="3">
        <v>1101623131</v>
      </c>
      <c r="D29" s="3" t="s">
        <v>161</v>
      </c>
      <c r="E29" s="3">
        <v>3166473269</v>
      </c>
      <c r="F29" s="3" t="s">
        <v>162</v>
      </c>
      <c r="G29" s="3">
        <v>89</v>
      </c>
      <c r="H29" s="3" t="s">
        <v>97</v>
      </c>
      <c r="I29" s="3" t="s">
        <v>33</v>
      </c>
      <c r="J29" s="3" t="s">
        <v>34</v>
      </c>
      <c r="K29" s="3"/>
      <c r="L29" s="3"/>
      <c r="M29" s="3"/>
      <c r="N29" s="3" t="s">
        <v>35</v>
      </c>
      <c r="O29" s="3" t="s">
        <v>36</v>
      </c>
      <c r="P29" s="4">
        <v>45937.585520833331</v>
      </c>
      <c r="Q29" s="3">
        <v>7777777</v>
      </c>
      <c r="R29" s="3" t="s">
        <v>37</v>
      </c>
      <c r="S29" s="3"/>
      <c r="T29" s="3"/>
      <c r="U29" s="5" t="s">
        <v>38</v>
      </c>
      <c r="V29" s="3"/>
      <c r="W29" s="3" t="s">
        <v>60</v>
      </c>
      <c r="X29" s="3" t="s">
        <v>40</v>
      </c>
      <c r="Y29" s="3" t="s">
        <v>41</v>
      </c>
      <c r="Z29" s="3" t="s">
        <v>70</v>
      </c>
      <c r="AA29" s="3" t="s">
        <v>49</v>
      </c>
      <c r="AB29" s="3" t="s">
        <v>40</v>
      </c>
      <c r="AC29" t="str">
        <f>IFERROR(VLOOKUP(C29,MigradosEfectivamente!B:B,1,FALSE),"No encontrado")</f>
        <v>No encontrado</v>
      </c>
    </row>
    <row r="30" spans="1:29" ht="60" x14ac:dyDescent="0.25">
      <c r="A30" s="3" t="s">
        <v>163</v>
      </c>
      <c r="B30" s="3" t="s">
        <v>164</v>
      </c>
      <c r="C30" s="3">
        <v>1098826076</v>
      </c>
      <c r="D30" s="3" t="s">
        <v>165</v>
      </c>
      <c r="E30" s="3">
        <v>3012379223</v>
      </c>
      <c r="F30" s="3" t="s">
        <v>166</v>
      </c>
      <c r="G30" s="3">
        <v>89</v>
      </c>
      <c r="H30" s="3" t="s">
        <v>54</v>
      </c>
      <c r="I30" s="3" t="s">
        <v>82</v>
      </c>
      <c r="J30" s="3" t="s">
        <v>34</v>
      </c>
      <c r="K30" s="3"/>
      <c r="L30" s="3"/>
      <c r="M30" s="3"/>
      <c r="N30" s="3" t="s">
        <v>35</v>
      </c>
      <c r="O30" s="3" t="s">
        <v>36</v>
      </c>
      <c r="P30" s="4">
        <v>45937.583587962959</v>
      </c>
      <c r="Q30" s="3">
        <v>7777777</v>
      </c>
      <c r="R30" s="3" t="s">
        <v>37</v>
      </c>
      <c r="S30" s="3"/>
      <c r="T30" s="3"/>
      <c r="U30" s="5" t="s">
        <v>38</v>
      </c>
      <c r="V30" s="3"/>
      <c r="W30" s="3" t="s">
        <v>60</v>
      </c>
      <c r="X30" s="3" t="s">
        <v>40</v>
      </c>
      <c r="Y30" s="3" t="s">
        <v>41</v>
      </c>
      <c r="Z30" s="3" t="s">
        <v>42</v>
      </c>
      <c r="AA30" s="3" t="s">
        <v>49</v>
      </c>
      <c r="AB30" s="3" t="s">
        <v>40</v>
      </c>
      <c r="AC30" t="str">
        <f>IFERROR(VLOOKUP(C30,MigradosEfectivamente!B:B,1,FALSE),"No encontrado")</f>
        <v>No encontrado</v>
      </c>
    </row>
    <row r="31" spans="1:29" ht="45" x14ac:dyDescent="0.25">
      <c r="A31" s="3" t="s">
        <v>167</v>
      </c>
      <c r="B31" s="3" t="s">
        <v>168</v>
      </c>
      <c r="C31" s="3">
        <v>27652502</v>
      </c>
      <c r="D31" s="3" t="s">
        <v>169</v>
      </c>
      <c r="E31" s="3" t="s">
        <v>170</v>
      </c>
      <c r="F31" s="3" t="s">
        <v>171</v>
      </c>
      <c r="G31" s="3">
        <v>89</v>
      </c>
      <c r="H31" s="3" t="s">
        <v>48</v>
      </c>
      <c r="I31" s="3" t="s">
        <v>33</v>
      </c>
      <c r="J31" s="3" t="s">
        <v>34</v>
      </c>
      <c r="K31" s="3"/>
      <c r="L31" s="3"/>
      <c r="M31" s="3"/>
      <c r="N31" s="3" t="s">
        <v>35</v>
      </c>
      <c r="O31" s="3" t="s">
        <v>36</v>
      </c>
      <c r="P31" s="4">
        <v>45937.443726851852</v>
      </c>
      <c r="Q31" s="3">
        <v>7777777</v>
      </c>
      <c r="R31" s="3" t="s">
        <v>37</v>
      </c>
      <c r="S31" s="3"/>
      <c r="T31" s="3"/>
      <c r="U31" s="5" t="s">
        <v>38</v>
      </c>
      <c r="V31" s="3"/>
      <c r="W31" s="3" t="s">
        <v>39</v>
      </c>
      <c r="X31" s="3" t="s">
        <v>40</v>
      </c>
      <c r="Y31" s="3" t="s">
        <v>41</v>
      </c>
      <c r="Z31" s="3" t="s">
        <v>42</v>
      </c>
      <c r="AA31" s="3" t="s">
        <v>49</v>
      </c>
      <c r="AB31" s="3" t="s">
        <v>40</v>
      </c>
      <c r="AC31" t="str">
        <f>IFERROR(VLOOKUP(C31,MigradosEfectivamente!B:B,1,FALSE),"No encontrado")</f>
        <v>No encontrado</v>
      </c>
    </row>
    <row r="32" spans="1:29" ht="60" x14ac:dyDescent="0.25">
      <c r="A32" s="3" t="s">
        <v>172</v>
      </c>
      <c r="B32" s="3" t="s">
        <v>173</v>
      </c>
      <c r="C32" s="3">
        <v>1048217134</v>
      </c>
      <c r="D32" s="3" t="s">
        <v>108</v>
      </c>
      <c r="E32" s="3" t="s">
        <v>174</v>
      </c>
      <c r="F32" s="3" t="s">
        <v>175</v>
      </c>
      <c r="G32" s="3">
        <v>89</v>
      </c>
      <c r="H32" s="3" t="s">
        <v>110</v>
      </c>
      <c r="I32" s="3" t="s">
        <v>33</v>
      </c>
      <c r="J32" s="3" t="s">
        <v>34</v>
      </c>
      <c r="K32" s="3"/>
      <c r="L32" s="3"/>
      <c r="M32" s="3"/>
      <c r="N32" s="3" t="s">
        <v>35</v>
      </c>
      <c r="O32" s="3" t="s">
        <v>36</v>
      </c>
      <c r="P32" s="4">
        <v>45937.336087962962</v>
      </c>
      <c r="Q32" s="3">
        <v>7777777</v>
      </c>
      <c r="R32" s="3" t="s">
        <v>37</v>
      </c>
      <c r="S32" s="3"/>
      <c r="T32" s="3"/>
      <c r="U32" s="5" t="s">
        <v>38</v>
      </c>
      <c r="V32" s="3"/>
      <c r="W32" s="3" t="s">
        <v>60</v>
      </c>
      <c r="X32" s="3" t="s">
        <v>40</v>
      </c>
      <c r="Y32" s="3" t="s">
        <v>41</v>
      </c>
      <c r="Z32" s="3" t="s">
        <v>42</v>
      </c>
      <c r="AA32" s="3" t="s">
        <v>49</v>
      </c>
      <c r="AB32" s="3" t="s">
        <v>40</v>
      </c>
      <c r="AC32" t="str">
        <f>IFERROR(VLOOKUP(C32,MigradosEfectivamente!B:B,1,FALSE),"No encontrado")</f>
        <v>No encontrado</v>
      </c>
    </row>
    <row r="33" spans="1:29" ht="60" x14ac:dyDescent="0.25">
      <c r="A33" s="3" t="s">
        <v>176</v>
      </c>
      <c r="B33" s="3" t="s">
        <v>177</v>
      </c>
      <c r="C33" s="3">
        <v>1005261067</v>
      </c>
      <c r="D33" s="3" t="s">
        <v>178</v>
      </c>
      <c r="E33" s="3">
        <v>3160447671</v>
      </c>
      <c r="F33" s="3" t="s">
        <v>179</v>
      </c>
      <c r="G33" s="3">
        <v>89</v>
      </c>
      <c r="H33" s="3" t="s">
        <v>180</v>
      </c>
      <c r="I33" s="3" t="s">
        <v>33</v>
      </c>
      <c r="J33" s="3" t="s">
        <v>34</v>
      </c>
      <c r="K33" s="3"/>
      <c r="L33" s="3"/>
      <c r="M33" s="3"/>
      <c r="N33" s="3" t="s">
        <v>35</v>
      </c>
      <c r="O33" s="3" t="s">
        <v>36</v>
      </c>
      <c r="P33" s="4">
        <v>45937.335856481484</v>
      </c>
      <c r="Q33" s="3">
        <v>7777777</v>
      </c>
      <c r="R33" s="3" t="s">
        <v>37</v>
      </c>
      <c r="S33" s="3"/>
      <c r="T33" s="3"/>
      <c r="U33" s="5" t="s">
        <v>38</v>
      </c>
      <c r="V33" s="3"/>
      <c r="W33" s="3" t="s">
        <v>60</v>
      </c>
      <c r="X33" s="3" t="s">
        <v>40</v>
      </c>
      <c r="Y33" s="3" t="s">
        <v>41</v>
      </c>
      <c r="Z33" s="3" t="s">
        <v>42</v>
      </c>
      <c r="AA33" s="3" t="s">
        <v>49</v>
      </c>
      <c r="AB33" s="3" t="s">
        <v>40</v>
      </c>
      <c r="AC33" t="str">
        <f>IFERROR(VLOOKUP(C33,MigradosEfectivamente!B:B,1,FALSE),"No encontrado")</f>
        <v>No encontrado</v>
      </c>
    </row>
    <row r="34" spans="1:29" ht="60" x14ac:dyDescent="0.25">
      <c r="A34" s="3" t="s">
        <v>181</v>
      </c>
      <c r="B34" s="3" t="s">
        <v>182</v>
      </c>
      <c r="C34" s="3">
        <v>1004844070</v>
      </c>
      <c r="D34" s="3" t="s">
        <v>183</v>
      </c>
      <c r="E34" s="3">
        <v>3154611341</v>
      </c>
      <c r="F34" s="3" t="s">
        <v>184</v>
      </c>
      <c r="G34" s="3">
        <v>99</v>
      </c>
      <c r="H34" s="3" t="s">
        <v>69</v>
      </c>
      <c r="I34" s="3" t="s">
        <v>82</v>
      </c>
      <c r="J34" s="3" t="s">
        <v>34</v>
      </c>
      <c r="K34" s="3"/>
      <c r="L34" s="3"/>
      <c r="M34" s="3"/>
      <c r="N34" s="3" t="s">
        <v>35</v>
      </c>
      <c r="O34" s="3" t="s">
        <v>83</v>
      </c>
      <c r="P34" s="4">
        <v>45937.335462962961</v>
      </c>
      <c r="Q34" s="3">
        <v>7777777</v>
      </c>
      <c r="R34" s="3" t="s">
        <v>37</v>
      </c>
      <c r="S34" s="3"/>
      <c r="T34" s="3"/>
      <c r="U34" s="5" t="s">
        <v>38</v>
      </c>
      <c r="V34" s="3"/>
      <c r="W34" s="3" t="s">
        <v>60</v>
      </c>
      <c r="X34" s="3" t="s">
        <v>40</v>
      </c>
      <c r="Y34" s="3" t="s">
        <v>40</v>
      </c>
      <c r="Z34" s="3" t="s">
        <v>42</v>
      </c>
      <c r="AA34" s="3" t="s">
        <v>49</v>
      </c>
      <c r="AB34" s="3" t="s">
        <v>40</v>
      </c>
      <c r="AC34" t="str">
        <f>IFERROR(VLOOKUP(C34,MigradosEfectivamente!B:B,1,FALSE),"No encontrado")</f>
        <v>No encontrado</v>
      </c>
    </row>
    <row r="35" spans="1:29" ht="60" x14ac:dyDescent="0.25">
      <c r="A35" s="3" t="s">
        <v>185</v>
      </c>
      <c r="B35" s="3" t="s">
        <v>186</v>
      </c>
      <c r="C35" s="3">
        <v>1102387884</v>
      </c>
      <c r="D35" s="3" t="s">
        <v>187</v>
      </c>
      <c r="E35" s="3">
        <v>3156416637</v>
      </c>
      <c r="F35" s="3" t="s">
        <v>188</v>
      </c>
      <c r="G35" s="3">
        <v>89</v>
      </c>
      <c r="H35" s="3" t="s">
        <v>59</v>
      </c>
      <c r="I35" s="3" t="s">
        <v>33</v>
      </c>
      <c r="J35" s="3" t="s">
        <v>34</v>
      </c>
      <c r="K35" s="3"/>
      <c r="L35" s="3"/>
      <c r="M35" s="3"/>
      <c r="N35" s="3" t="s">
        <v>35</v>
      </c>
      <c r="O35" s="3" t="s">
        <v>36</v>
      </c>
      <c r="P35" s="4">
        <v>45937.334502314814</v>
      </c>
      <c r="Q35" s="3">
        <v>7777777</v>
      </c>
      <c r="R35" s="3" t="s">
        <v>37</v>
      </c>
      <c r="S35" s="3"/>
      <c r="T35" s="3"/>
      <c r="U35" s="5" t="s">
        <v>38</v>
      </c>
      <c r="V35" s="3"/>
      <c r="W35" s="3" t="s">
        <v>60</v>
      </c>
      <c r="X35" s="3" t="s">
        <v>40</v>
      </c>
      <c r="Y35" s="3" t="s">
        <v>41</v>
      </c>
      <c r="Z35" s="3" t="s">
        <v>42</v>
      </c>
      <c r="AA35" s="3" t="s">
        <v>49</v>
      </c>
      <c r="AB35" s="3" t="s">
        <v>40</v>
      </c>
      <c r="AC35" t="str">
        <f>IFERROR(VLOOKUP(C35,MigradosEfectivamente!B:B,1,FALSE),"No encontrado")</f>
        <v>No encontrado</v>
      </c>
    </row>
    <row r="36" spans="1:29" ht="60" x14ac:dyDescent="0.25">
      <c r="A36" s="3" t="s">
        <v>189</v>
      </c>
      <c r="B36" s="3" t="s">
        <v>190</v>
      </c>
      <c r="C36" s="3">
        <v>1127337039</v>
      </c>
      <c r="D36" s="3" t="s">
        <v>191</v>
      </c>
      <c r="E36" s="3">
        <v>3042907313</v>
      </c>
      <c r="F36" s="3" t="s">
        <v>192</v>
      </c>
      <c r="G36" s="3">
        <v>89</v>
      </c>
      <c r="H36" s="3" t="s">
        <v>59</v>
      </c>
      <c r="I36" s="3" t="s">
        <v>33</v>
      </c>
      <c r="J36" s="3" t="s">
        <v>34</v>
      </c>
      <c r="K36" s="3"/>
      <c r="L36" s="3"/>
      <c r="M36" s="3"/>
      <c r="N36" s="3" t="s">
        <v>35</v>
      </c>
      <c r="O36" s="3" t="s">
        <v>36</v>
      </c>
      <c r="P36" s="4">
        <v>45937.333807870367</v>
      </c>
      <c r="Q36" s="3">
        <v>7777777</v>
      </c>
      <c r="R36" s="3" t="s">
        <v>37</v>
      </c>
      <c r="S36" s="3"/>
      <c r="T36" s="3"/>
      <c r="U36" s="5" t="s">
        <v>38</v>
      </c>
      <c r="V36" s="3"/>
      <c r="W36" s="3" t="s">
        <v>60</v>
      </c>
      <c r="X36" s="3" t="s">
        <v>40</v>
      </c>
      <c r="Y36" s="3" t="s">
        <v>41</v>
      </c>
      <c r="Z36" s="3" t="s">
        <v>42</v>
      </c>
      <c r="AA36" s="3" t="s">
        <v>49</v>
      </c>
      <c r="AB36" s="3" t="s">
        <v>40</v>
      </c>
      <c r="AC36">
        <f>IFERROR(VLOOKUP(C36,MigradosEfectivamente!B:B,1,FALSE),"No encontrado")</f>
        <v>1127337039</v>
      </c>
    </row>
    <row r="37" spans="1:29" ht="45" x14ac:dyDescent="0.25">
      <c r="A37" s="3" t="s">
        <v>193</v>
      </c>
      <c r="B37" s="3" t="s">
        <v>194</v>
      </c>
      <c r="C37" s="3">
        <v>1090452609</v>
      </c>
      <c r="D37" s="3" t="s">
        <v>136</v>
      </c>
      <c r="E37" s="3" t="s">
        <v>195</v>
      </c>
      <c r="F37" s="3" t="s">
        <v>196</v>
      </c>
      <c r="G37" s="3">
        <v>349</v>
      </c>
      <c r="H37" s="3" t="s">
        <v>136</v>
      </c>
      <c r="I37" s="3" t="s">
        <v>137</v>
      </c>
      <c r="J37" s="3" t="s">
        <v>34</v>
      </c>
      <c r="K37" s="3"/>
      <c r="L37" s="3"/>
      <c r="M37" s="3"/>
      <c r="N37" s="3" t="s">
        <v>35</v>
      </c>
      <c r="O37" s="3" t="s">
        <v>138</v>
      </c>
      <c r="P37" s="4">
        <v>45937.197523148148</v>
      </c>
      <c r="Q37" s="3">
        <v>7777777</v>
      </c>
      <c r="R37" s="3" t="s">
        <v>37</v>
      </c>
      <c r="S37" s="3"/>
      <c r="T37" s="3"/>
      <c r="U37" s="5" t="s">
        <v>38</v>
      </c>
      <c r="V37" s="3"/>
      <c r="W37" s="3" t="s">
        <v>39</v>
      </c>
      <c r="X37" s="3" t="s">
        <v>40</v>
      </c>
      <c r="Y37" s="3" t="s">
        <v>41</v>
      </c>
      <c r="Z37" s="3" t="s">
        <v>92</v>
      </c>
      <c r="AA37" s="3" t="s">
        <v>49</v>
      </c>
      <c r="AB37" s="3" t="s">
        <v>40</v>
      </c>
      <c r="AC37" t="str">
        <f>IFERROR(VLOOKUP(C37,MigradosEfectivamente!B:B,1,FALSE),"No encontrado")</f>
        <v>No encontrado</v>
      </c>
    </row>
    <row r="38" spans="1:29" ht="60" x14ac:dyDescent="0.25">
      <c r="A38" s="3" t="s">
        <v>197</v>
      </c>
      <c r="B38" s="3" t="s">
        <v>198</v>
      </c>
      <c r="C38" s="3">
        <v>1092334876</v>
      </c>
      <c r="D38" s="3" t="s">
        <v>122</v>
      </c>
      <c r="E38" s="3">
        <v>3123682469</v>
      </c>
      <c r="F38" s="3" t="s">
        <v>199</v>
      </c>
      <c r="G38" s="3">
        <v>89</v>
      </c>
      <c r="H38" s="3" t="s">
        <v>48</v>
      </c>
      <c r="I38" s="3" t="s">
        <v>82</v>
      </c>
      <c r="J38" s="3" t="s">
        <v>34</v>
      </c>
      <c r="K38" s="3"/>
      <c r="L38" s="3"/>
      <c r="M38" s="3"/>
      <c r="N38" s="3" t="s">
        <v>35</v>
      </c>
      <c r="O38" s="3" t="s">
        <v>36</v>
      </c>
      <c r="P38" s="4">
        <v>45936.879259259258</v>
      </c>
      <c r="Q38" s="3">
        <v>7777777</v>
      </c>
      <c r="R38" s="3" t="s">
        <v>37</v>
      </c>
      <c r="S38" s="3"/>
      <c r="T38" s="3"/>
      <c r="U38" s="5" t="s">
        <v>38</v>
      </c>
      <c r="V38" s="3"/>
      <c r="W38" s="3" t="s">
        <v>60</v>
      </c>
      <c r="X38" s="3" t="s">
        <v>40</v>
      </c>
      <c r="Y38" s="3" t="s">
        <v>40</v>
      </c>
      <c r="Z38" s="3" t="s">
        <v>42</v>
      </c>
      <c r="AA38" s="3" t="s">
        <v>49</v>
      </c>
      <c r="AB38" s="3" t="s">
        <v>40</v>
      </c>
      <c r="AC38" t="str">
        <f>IFERROR(VLOOKUP(C38,MigradosEfectivamente!B:B,1,FALSE),"No encontrado")</f>
        <v>No encontrado</v>
      </c>
    </row>
    <row r="39" spans="1:29" ht="60" x14ac:dyDescent="0.25">
      <c r="A39" s="3" t="s">
        <v>200</v>
      </c>
      <c r="B39" s="3" t="s">
        <v>201</v>
      </c>
      <c r="C39" s="3">
        <v>1193598878</v>
      </c>
      <c r="D39" s="3" t="s">
        <v>202</v>
      </c>
      <c r="E39" s="3">
        <v>3117999832</v>
      </c>
      <c r="F39" s="3" t="s">
        <v>203</v>
      </c>
      <c r="G39" s="3">
        <v>89</v>
      </c>
      <c r="H39" s="3" t="s">
        <v>97</v>
      </c>
      <c r="I39" s="3" t="s">
        <v>33</v>
      </c>
      <c r="J39" s="3" t="s">
        <v>34</v>
      </c>
      <c r="K39" s="3"/>
      <c r="L39" s="3"/>
      <c r="M39" s="3"/>
      <c r="N39" s="3" t="s">
        <v>35</v>
      </c>
      <c r="O39" s="3" t="s">
        <v>36</v>
      </c>
      <c r="P39" s="4">
        <v>45936.875347222223</v>
      </c>
      <c r="Q39" s="3">
        <v>7777777</v>
      </c>
      <c r="R39" s="3" t="s">
        <v>37</v>
      </c>
      <c r="S39" s="3"/>
      <c r="T39" s="3"/>
      <c r="U39" s="5" t="s">
        <v>38</v>
      </c>
      <c r="V39" s="3"/>
      <c r="W39" s="3" t="s">
        <v>60</v>
      </c>
      <c r="X39" s="3" t="s">
        <v>40</v>
      </c>
      <c r="Y39" s="3" t="s">
        <v>41</v>
      </c>
      <c r="Z39" s="3" t="s">
        <v>42</v>
      </c>
      <c r="AA39" s="3" t="s">
        <v>49</v>
      </c>
      <c r="AB39" s="3" t="s">
        <v>40</v>
      </c>
      <c r="AC39" t="str">
        <f>IFERROR(VLOOKUP(C39,MigradosEfectivamente!B:B,1,FALSE),"No encontrado")</f>
        <v>No encontrado</v>
      </c>
    </row>
    <row r="40" spans="1:29" ht="60" x14ac:dyDescent="0.25">
      <c r="A40" s="3" t="s">
        <v>204</v>
      </c>
      <c r="B40" s="3" t="s">
        <v>205</v>
      </c>
      <c r="C40" s="3">
        <v>1098745697</v>
      </c>
      <c r="D40" s="3" t="s">
        <v>169</v>
      </c>
      <c r="E40" s="3">
        <v>3172917358</v>
      </c>
      <c r="F40" s="3" t="s">
        <v>206</v>
      </c>
      <c r="G40" s="3">
        <v>89</v>
      </c>
      <c r="H40" s="3" t="s">
        <v>110</v>
      </c>
      <c r="I40" s="3" t="s">
        <v>33</v>
      </c>
      <c r="J40" s="3" t="s">
        <v>34</v>
      </c>
      <c r="K40" s="3"/>
      <c r="L40" s="3"/>
      <c r="M40" s="3"/>
      <c r="N40" s="3" t="s">
        <v>35</v>
      </c>
      <c r="O40" s="3" t="s">
        <v>36</v>
      </c>
      <c r="P40" s="4">
        <v>45936.875219907408</v>
      </c>
      <c r="Q40" s="3">
        <v>7777777</v>
      </c>
      <c r="R40" s="3" t="s">
        <v>37</v>
      </c>
      <c r="S40" s="3"/>
      <c r="T40" s="3"/>
      <c r="U40" s="5" t="s">
        <v>38</v>
      </c>
      <c r="V40" s="3"/>
      <c r="W40" s="3" t="s">
        <v>60</v>
      </c>
      <c r="X40" s="3" t="s">
        <v>40</v>
      </c>
      <c r="Y40" s="3" t="s">
        <v>41</v>
      </c>
      <c r="Z40" s="3" t="s">
        <v>42</v>
      </c>
      <c r="AA40" s="3" t="s">
        <v>43</v>
      </c>
      <c r="AB40" s="3" t="s">
        <v>40</v>
      </c>
      <c r="AC40" t="str">
        <f>IFERROR(VLOOKUP(C40,MigradosEfectivamente!B:B,1,FALSE),"No encontrado")</f>
        <v>No encontrado</v>
      </c>
    </row>
    <row r="41" spans="1:29" ht="15" x14ac:dyDescent="0.25">
      <c r="A41" s="3" t="s">
        <v>207</v>
      </c>
      <c r="B41" s="3" t="s">
        <v>208</v>
      </c>
      <c r="C41" s="3">
        <v>1095925056</v>
      </c>
      <c r="D41" s="3" t="s">
        <v>90</v>
      </c>
      <c r="E41" s="3">
        <v>3006413270</v>
      </c>
      <c r="F41" s="3" t="s">
        <v>209</v>
      </c>
      <c r="G41" s="3">
        <v>591</v>
      </c>
      <c r="H41" s="3" t="s">
        <v>180</v>
      </c>
      <c r="I41" s="3" t="s">
        <v>210</v>
      </c>
      <c r="J41" s="3" t="s">
        <v>34</v>
      </c>
      <c r="K41" s="3"/>
      <c r="L41" s="3"/>
      <c r="M41" s="3"/>
      <c r="N41" s="3" t="s">
        <v>35</v>
      </c>
      <c r="O41" s="3" t="s">
        <v>211</v>
      </c>
      <c r="P41" s="4">
        <v>45936.858182870368</v>
      </c>
      <c r="Q41" s="3">
        <v>1232392469</v>
      </c>
      <c r="R41" s="3" t="s">
        <v>212</v>
      </c>
      <c r="S41" s="3"/>
      <c r="T41" s="3" t="s">
        <v>213</v>
      </c>
      <c r="U41" s="5" t="s">
        <v>38</v>
      </c>
      <c r="V41" s="3"/>
      <c r="W41" s="3" t="s">
        <v>214</v>
      </c>
      <c r="X41" s="3" t="s">
        <v>41</v>
      </c>
      <c r="Y41" s="3" t="s">
        <v>41</v>
      </c>
      <c r="Z41" s="3" t="s">
        <v>42</v>
      </c>
      <c r="AA41" s="3" t="s">
        <v>49</v>
      </c>
      <c r="AB41" s="3" t="s">
        <v>40</v>
      </c>
      <c r="AC41" t="str">
        <f>IFERROR(VLOOKUP(C41,MigradosEfectivamente!B:B,1,FALSE),"No encontrado")</f>
        <v>No encontrado</v>
      </c>
    </row>
    <row r="42" spans="1:29" ht="60" x14ac:dyDescent="0.25">
      <c r="A42" s="3" t="s">
        <v>215</v>
      </c>
      <c r="B42" s="3" t="s">
        <v>216</v>
      </c>
      <c r="C42" s="3">
        <v>1095580786</v>
      </c>
      <c r="D42" s="3" t="s">
        <v>217</v>
      </c>
      <c r="E42" s="3">
        <v>3017811318</v>
      </c>
      <c r="F42" s="3" t="s">
        <v>218</v>
      </c>
      <c r="G42" s="3">
        <v>99</v>
      </c>
      <c r="H42" s="3" t="s">
        <v>54</v>
      </c>
      <c r="I42" s="3" t="s">
        <v>82</v>
      </c>
      <c r="J42" s="3" t="s">
        <v>34</v>
      </c>
      <c r="K42" s="3"/>
      <c r="L42" s="3"/>
      <c r="M42" s="3"/>
      <c r="N42" s="3" t="s">
        <v>35</v>
      </c>
      <c r="O42" s="3" t="s">
        <v>83</v>
      </c>
      <c r="P42" s="4">
        <v>45936.33625</v>
      </c>
      <c r="Q42" s="3">
        <v>7777777</v>
      </c>
      <c r="R42" s="3" t="s">
        <v>37</v>
      </c>
      <c r="S42" s="3"/>
      <c r="T42" s="3"/>
      <c r="U42" s="5" t="s">
        <v>38</v>
      </c>
      <c r="V42" s="3"/>
      <c r="W42" s="3" t="s">
        <v>60</v>
      </c>
      <c r="X42" s="3" t="s">
        <v>40</v>
      </c>
      <c r="Y42" s="3" t="s">
        <v>41</v>
      </c>
      <c r="Z42" s="3" t="s">
        <v>42</v>
      </c>
      <c r="AA42" s="3" t="s">
        <v>49</v>
      </c>
      <c r="AB42" s="3" t="s">
        <v>40</v>
      </c>
      <c r="AC42" t="str">
        <f>IFERROR(VLOOKUP(C42,MigradosEfectivamente!B:B,1,FALSE),"No encontrado")</f>
        <v>No encontrado</v>
      </c>
    </row>
    <row r="43" spans="1:29" ht="60" x14ac:dyDescent="0.25">
      <c r="A43" s="3" t="s">
        <v>219</v>
      </c>
      <c r="B43" s="3" t="s">
        <v>220</v>
      </c>
      <c r="C43" s="3">
        <v>60263352</v>
      </c>
      <c r="D43" s="3" t="s">
        <v>221</v>
      </c>
      <c r="E43" s="3">
        <v>3202353678</v>
      </c>
      <c r="F43" s="3" t="s">
        <v>222</v>
      </c>
      <c r="G43" s="3">
        <v>89</v>
      </c>
      <c r="H43" s="3" t="s">
        <v>136</v>
      </c>
      <c r="I43" s="3" t="s">
        <v>33</v>
      </c>
      <c r="J43" s="3" t="s">
        <v>34</v>
      </c>
      <c r="K43" s="3"/>
      <c r="L43" s="3"/>
      <c r="M43" s="3"/>
      <c r="N43" s="3" t="s">
        <v>35</v>
      </c>
      <c r="O43" s="3" t="s">
        <v>36</v>
      </c>
      <c r="P43" s="4">
        <v>45936.336018518516</v>
      </c>
      <c r="Q43" s="3">
        <v>7777777</v>
      </c>
      <c r="R43" s="3" t="s">
        <v>37</v>
      </c>
      <c r="S43" s="3"/>
      <c r="T43" s="3"/>
      <c r="U43" s="5" t="s">
        <v>38</v>
      </c>
      <c r="V43" s="3"/>
      <c r="W43" s="3" t="s">
        <v>60</v>
      </c>
      <c r="X43" s="3" t="s">
        <v>41</v>
      </c>
      <c r="Y43" s="3" t="s">
        <v>41</v>
      </c>
      <c r="Z43" s="3" t="s">
        <v>42</v>
      </c>
      <c r="AA43" s="3" t="s">
        <v>49</v>
      </c>
      <c r="AB43" s="3" t="s">
        <v>40</v>
      </c>
      <c r="AC43" t="str">
        <f>IFERROR(VLOOKUP(C43,MigradosEfectivamente!B:B,1,FALSE),"No encontrado")</f>
        <v>No encontrado</v>
      </c>
    </row>
    <row r="44" spans="1:29" ht="60" x14ac:dyDescent="0.25">
      <c r="A44" s="3" t="s">
        <v>223</v>
      </c>
      <c r="B44" s="3" t="s">
        <v>224</v>
      </c>
      <c r="C44" s="3">
        <v>1063562400</v>
      </c>
      <c r="D44" s="3" t="s">
        <v>225</v>
      </c>
      <c r="E44" s="3">
        <v>3152055741</v>
      </c>
      <c r="F44" s="3" t="s">
        <v>226</v>
      </c>
      <c r="G44" s="3">
        <v>99</v>
      </c>
      <c r="H44" s="3" t="s">
        <v>32</v>
      </c>
      <c r="I44" s="3" t="s">
        <v>82</v>
      </c>
      <c r="J44" s="3" t="s">
        <v>34</v>
      </c>
      <c r="K44" s="3"/>
      <c r="L44" s="3"/>
      <c r="M44" s="3"/>
      <c r="N44" s="3" t="s">
        <v>35</v>
      </c>
      <c r="O44" s="3" t="s">
        <v>83</v>
      </c>
      <c r="P44" s="4">
        <v>45936.335532407407</v>
      </c>
      <c r="Q44" s="3">
        <v>7777777</v>
      </c>
      <c r="R44" s="3" t="s">
        <v>37</v>
      </c>
      <c r="S44" s="3"/>
      <c r="T44" s="3"/>
      <c r="U44" s="5" t="s">
        <v>38</v>
      </c>
      <c r="V44" s="3"/>
      <c r="W44" s="3" t="s">
        <v>60</v>
      </c>
      <c r="X44" s="3" t="s">
        <v>40</v>
      </c>
      <c r="Y44" s="3" t="s">
        <v>41</v>
      </c>
      <c r="Z44" s="3" t="s">
        <v>42</v>
      </c>
      <c r="AA44" s="3" t="s">
        <v>49</v>
      </c>
      <c r="AB44" s="3" t="s">
        <v>40</v>
      </c>
      <c r="AC44" t="str">
        <f>IFERROR(VLOOKUP(C44,MigradosEfectivamente!B:B,1,FALSE),"No encontrado")</f>
        <v>No encontrado</v>
      </c>
    </row>
    <row r="45" spans="1:29" ht="60" x14ac:dyDescent="0.25">
      <c r="A45" s="3" t="s">
        <v>227</v>
      </c>
      <c r="B45" s="3" t="s">
        <v>228</v>
      </c>
      <c r="C45" s="3">
        <v>1000366072</v>
      </c>
      <c r="D45" s="3" t="s">
        <v>229</v>
      </c>
      <c r="E45" s="3">
        <v>3118135811</v>
      </c>
      <c r="F45" s="3" t="s">
        <v>230</v>
      </c>
      <c r="G45" s="3">
        <v>89</v>
      </c>
      <c r="H45" s="3" t="s">
        <v>180</v>
      </c>
      <c r="I45" s="3" t="s">
        <v>119</v>
      </c>
      <c r="J45" s="3" t="s">
        <v>34</v>
      </c>
      <c r="K45" s="3"/>
      <c r="L45" s="3"/>
      <c r="M45" s="3"/>
      <c r="N45" s="3" t="s">
        <v>35</v>
      </c>
      <c r="O45" s="3" t="s">
        <v>36</v>
      </c>
      <c r="P45" s="4">
        <v>45936.333564814813</v>
      </c>
      <c r="Q45" s="3">
        <v>7777777</v>
      </c>
      <c r="R45" s="3" t="s">
        <v>37</v>
      </c>
      <c r="S45" s="3"/>
      <c r="T45" s="3"/>
      <c r="U45" s="5" t="s">
        <v>38</v>
      </c>
      <c r="V45" s="3"/>
      <c r="W45" s="3" t="s">
        <v>60</v>
      </c>
      <c r="X45" s="3" t="s">
        <v>41</v>
      </c>
      <c r="Y45" s="3" t="s">
        <v>41</v>
      </c>
      <c r="Z45" s="3" t="s">
        <v>42</v>
      </c>
      <c r="AA45" s="3" t="s">
        <v>49</v>
      </c>
      <c r="AB45" s="3" t="s">
        <v>40</v>
      </c>
      <c r="AC45" t="str">
        <f>IFERROR(VLOOKUP(C45,MigradosEfectivamente!B:B,1,FALSE),"No encontrado")</f>
        <v>No encontrado</v>
      </c>
    </row>
    <row r="46" spans="1:29" ht="60" x14ac:dyDescent="0.25">
      <c r="A46" s="3" t="s">
        <v>231</v>
      </c>
      <c r="B46" s="3" t="s">
        <v>232</v>
      </c>
      <c r="C46" s="3">
        <v>1094245514</v>
      </c>
      <c r="D46" s="3" t="s">
        <v>233</v>
      </c>
      <c r="E46" s="3">
        <v>3105552353</v>
      </c>
      <c r="F46" s="3" t="s">
        <v>234</v>
      </c>
      <c r="G46" s="3">
        <v>89</v>
      </c>
      <c r="H46" s="3" t="s">
        <v>69</v>
      </c>
      <c r="I46" s="3" t="s">
        <v>33</v>
      </c>
      <c r="J46" s="3" t="s">
        <v>34</v>
      </c>
      <c r="K46" s="3"/>
      <c r="L46" s="3"/>
      <c r="M46" s="3"/>
      <c r="N46" s="3" t="s">
        <v>35</v>
      </c>
      <c r="O46" s="3" t="s">
        <v>36</v>
      </c>
      <c r="P46" s="4">
        <v>45935.589201388888</v>
      </c>
      <c r="Q46" s="3">
        <v>7777777</v>
      </c>
      <c r="R46" s="3" t="s">
        <v>37</v>
      </c>
      <c r="S46" s="3"/>
      <c r="T46" s="3"/>
      <c r="U46" s="5" t="s">
        <v>38</v>
      </c>
      <c r="V46" s="3"/>
      <c r="W46" s="3" t="s">
        <v>60</v>
      </c>
      <c r="X46" s="3" t="s">
        <v>40</v>
      </c>
      <c r="Y46" s="3" t="s">
        <v>41</v>
      </c>
      <c r="Z46" s="3" t="s">
        <v>92</v>
      </c>
      <c r="AA46" s="3" t="s">
        <v>43</v>
      </c>
      <c r="AB46" s="3" t="s">
        <v>40</v>
      </c>
      <c r="AC46" t="str">
        <f>IFERROR(VLOOKUP(C46,MigradosEfectivamente!B:B,1,FALSE),"No encontrado")</f>
        <v>No encontrado</v>
      </c>
    </row>
    <row r="47" spans="1:29" ht="60" x14ac:dyDescent="0.25">
      <c r="A47" s="3" t="s">
        <v>235</v>
      </c>
      <c r="B47" s="3" t="s">
        <v>236</v>
      </c>
      <c r="C47" s="3">
        <v>1090474602</v>
      </c>
      <c r="D47" s="3" t="s">
        <v>169</v>
      </c>
      <c r="E47" s="3">
        <v>3223284806</v>
      </c>
      <c r="F47" s="3" t="s">
        <v>237</v>
      </c>
      <c r="G47" s="3">
        <v>99</v>
      </c>
      <c r="H47" s="3" t="s">
        <v>69</v>
      </c>
      <c r="I47" s="3" t="s">
        <v>82</v>
      </c>
      <c r="J47" s="3" t="s">
        <v>34</v>
      </c>
      <c r="K47" s="3"/>
      <c r="L47" s="3"/>
      <c r="M47" s="3"/>
      <c r="N47" s="3" t="s">
        <v>35</v>
      </c>
      <c r="O47" s="3" t="s">
        <v>83</v>
      </c>
      <c r="P47" s="4">
        <v>45935.58902777778</v>
      </c>
      <c r="Q47" s="3">
        <v>7777777</v>
      </c>
      <c r="R47" s="3" t="s">
        <v>37</v>
      </c>
      <c r="S47" s="3"/>
      <c r="T47" s="3"/>
      <c r="U47" s="5" t="s">
        <v>38</v>
      </c>
      <c r="V47" s="3"/>
      <c r="W47" s="3" t="s">
        <v>60</v>
      </c>
      <c r="X47" s="3" t="s">
        <v>40</v>
      </c>
      <c r="Y47" s="3" t="s">
        <v>41</v>
      </c>
      <c r="Z47" s="3" t="s">
        <v>42</v>
      </c>
      <c r="AA47" s="3" t="s">
        <v>43</v>
      </c>
      <c r="AB47" s="3" t="s">
        <v>40</v>
      </c>
      <c r="AC47" t="str">
        <f>IFERROR(VLOOKUP(C47,MigradosEfectivamente!B:B,1,FALSE),"No encontrado")</f>
        <v>No encontrado</v>
      </c>
    </row>
    <row r="48" spans="1:29" ht="60" x14ac:dyDescent="0.25">
      <c r="A48" s="3" t="s">
        <v>238</v>
      </c>
      <c r="B48" s="3" t="s">
        <v>239</v>
      </c>
      <c r="C48" s="3">
        <v>1005565212</v>
      </c>
      <c r="D48" s="3" t="s">
        <v>169</v>
      </c>
      <c r="E48" s="3">
        <v>573187360097</v>
      </c>
      <c r="F48" s="3" t="s">
        <v>240</v>
      </c>
      <c r="G48" s="3">
        <v>89</v>
      </c>
      <c r="H48" s="3" t="s">
        <v>180</v>
      </c>
      <c r="I48" s="3" t="s">
        <v>33</v>
      </c>
      <c r="J48" s="3" t="s">
        <v>34</v>
      </c>
      <c r="K48" s="3"/>
      <c r="L48" s="3"/>
      <c r="M48" s="3"/>
      <c r="N48" s="3" t="s">
        <v>35</v>
      </c>
      <c r="O48" s="3" t="s">
        <v>36</v>
      </c>
      <c r="P48" s="4">
        <v>45935.58865740741</v>
      </c>
      <c r="Q48" s="3">
        <v>7777777</v>
      </c>
      <c r="R48" s="3" t="s">
        <v>37</v>
      </c>
      <c r="S48" s="3"/>
      <c r="T48" s="3"/>
      <c r="U48" s="5" t="s">
        <v>38</v>
      </c>
      <c r="V48" s="3"/>
      <c r="W48" s="3" t="s">
        <v>60</v>
      </c>
      <c r="X48" s="3" t="s">
        <v>40</v>
      </c>
      <c r="Y48" s="3" t="s">
        <v>41</v>
      </c>
      <c r="Z48" s="3" t="s">
        <v>42</v>
      </c>
      <c r="AA48" s="3" t="s">
        <v>43</v>
      </c>
      <c r="AB48" s="3" t="s">
        <v>40</v>
      </c>
      <c r="AC48" t="str">
        <f>IFERROR(VLOOKUP(C48,MigradosEfectivamente!B:B,1,FALSE),"No encontrado")</f>
        <v>No encontrado</v>
      </c>
    </row>
    <row r="49" spans="1:29" ht="60" x14ac:dyDescent="0.25">
      <c r="A49" s="3" t="s">
        <v>241</v>
      </c>
      <c r="B49" s="3" t="s">
        <v>242</v>
      </c>
      <c r="C49" s="3">
        <v>1102716825</v>
      </c>
      <c r="D49" s="3" t="s">
        <v>243</v>
      </c>
      <c r="E49" s="3">
        <v>3015155229</v>
      </c>
      <c r="F49" s="3" t="s">
        <v>244</v>
      </c>
      <c r="G49" s="3">
        <v>99</v>
      </c>
      <c r="H49" s="3" t="s">
        <v>54</v>
      </c>
      <c r="I49" s="3" t="s">
        <v>82</v>
      </c>
      <c r="J49" s="3" t="s">
        <v>34</v>
      </c>
      <c r="K49" s="3"/>
      <c r="L49" s="3"/>
      <c r="M49" s="3"/>
      <c r="N49" s="3" t="s">
        <v>35</v>
      </c>
      <c r="O49" s="3" t="s">
        <v>83</v>
      </c>
      <c r="P49" s="4">
        <v>45935.584861111114</v>
      </c>
      <c r="Q49" s="3">
        <v>7777777</v>
      </c>
      <c r="R49" s="3" t="s">
        <v>37</v>
      </c>
      <c r="S49" s="3"/>
      <c r="T49" s="3"/>
      <c r="U49" s="5" t="s">
        <v>38</v>
      </c>
      <c r="V49" s="3"/>
      <c r="W49" s="3" t="s">
        <v>60</v>
      </c>
      <c r="X49" s="3" t="s">
        <v>41</v>
      </c>
      <c r="Y49" s="3" t="s">
        <v>41</v>
      </c>
      <c r="Z49" s="3" t="s">
        <v>42</v>
      </c>
      <c r="AA49" s="3" t="s">
        <v>43</v>
      </c>
      <c r="AB49" s="3" t="s">
        <v>40</v>
      </c>
      <c r="AC49" t="str">
        <f>IFERROR(VLOOKUP(C49,MigradosEfectivamente!B:B,1,FALSE),"No encontrado")</f>
        <v>No encontrado</v>
      </c>
    </row>
    <row r="50" spans="1:29" ht="60" x14ac:dyDescent="0.25">
      <c r="A50" s="3" t="s">
        <v>245</v>
      </c>
      <c r="B50" s="3" t="s">
        <v>246</v>
      </c>
      <c r="C50" s="3">
        <v>1093590391</v>
      </c>
      <c r="D50" s="3" t="s">
        <v>247</v>
      </c>
      <c r="E50" s="3">
        <v>3228583462</v>
      </c>
      <c r="F50" s="3" t="s">
        <v>248</v>
      </c>
      <c r="G50" s="3">
        <v>89</v>
      </c>
      <c r="H50" s="3" t="s">
        <v>136</v>
      </c>
      <c r="I50" s="3" t="s">
        <v>119</v>
      </c>
      <c r="J50" s="3" t="s">
        <v>34</v>
      </c>
      <c r="K50" s="3"/>
      <c r="L50" s="3"/>
      <c r="M50" s="3"/>
      <c r="N50" s="3" t="s">
        <v>35</v>
      </c>
      <c r="O50" s="3" t="s">
        <v>36</v>
      </c>
      <c r="P50" s="4">
        <v>45935.584247685183</v>
      </c>
      <c r="Q50" s="3">
        <v>7777777</v>
      </c>
      <c r="R50" s="3" t="s">
        <v>37</v>
      </c>
      <c r="S50" s="3"/>
      <c r="T50" s="3"/>
      <c r="U50" s="5" t="s">
        <v>38</v>
      </c>
      <c r="V50" s="3"/>
      <c r="W50" s="3" t="s">
        <v>60</v>
      </c>
      <c r="X50" s="3" t="s">
        <v>40</v>
      </c>
      <c r="Y50" s="3" t="s">
        <v>41</v>
      </c>
      <c r="Z50" s="3" t="s">
        <v>42</v>
      </c>
      <c r="AA50" s="3" t="s">
        <v>43</v>
      </c>
      <c r="AB50" s="3" t="s">
        <v>40</v>
      </c>
      <c r="AC50" t="str">
        <f>IFERROR(VLOOKUP(C50,MigradosEfectivamente!B:B,1,FALSE),"No encontrado")</f>
        <v>No encontrado</v>
      </c>
    </row>
    <row r="51" spans="1:29" ht="60" x14ac:dyDescent="0.25">
      <c r="A51" s="3" t="s">
        <v>249</v>
      </c>
      <c r="B51" s="3" t="s">
        <v>250</v>
      </c>
      <c r="C51" s="3">
        <v>1101210988</v>
      </c>
      <c r="D51" s="3" t="s">
        <v>90</v>
      </c>
      <c r="E51" s="3">
        <v>3004801938</v>
      </c>
      <c r="F51" s="3" t="s">
        <v>251</v>
      </c>
      <c r="G51" s="3">
        <v>89</v>
      </c>
      <c r="H51" s="3" t="s">
        <v>97</v>
      </c>
      <c r="I51" s="3" t="s">
        <v>33</v>
      </c>
      <c r="J51" s="3" t="s">
        <v>34</v>
      </c>
      <c r="K51" s="3"/>
      <c r="L51" s="3"/>
      <c r="M51" s="3"/>
      <c r="N51" s="3" t="s">
        <v>35</v>
      </c>
      <c r="O51" s="3" t="s">
        <v>36</v>
      </c>
      <c r="P51" s="4">
        <v>45935.339733796296</v>
      </c>
      <c r="Q51" s="3">
        <v>7777777</v>
      </c>
      <c r="R51" s="3" t="s">
        <v>37</v>
      </c>
      <c r="S51" s="3"/>
      <c r="T51" s="3"/>
      <c r="U51" s="5" t="s">
        <v>38</v>
      </c>
      <c r="V51" s="3"/>
      <c r="W51" s="3" t="s">
        <v>60</v>
      </c>
      <c r="X51" s="3" t="s">
        <v>40</v>
      </c>
      <c r="Y51" s="3" t="s">
        <v>41</v>
      </c>
      <c r="Z51" s="3" t="s">
        <v>70</v>
      </c>
      <c r="AA51" s="3" t="s">
        <v>43</v>
      </c>
      <c r="AB51" s="3" t="s">
        <v>40</v>
      </c>
      <c r="AC51" t="str">
        <f>IFERROR(VLOOKUP(C51,MigradosEfectivamente!B:B,1,FALSE),"No encontrado")</f>
        <v>No encontrado</v>
      </c>
    </row>
    <row r="52" spans="1:29" ht="60" x14ac:dyDescent="0.25">
      <c r="A52" s="3" t="s">
        <v>252</v>
      </c>
      <c r="B52" s="3" t="s">
        <v>253</v>
      </c>
      <c r="C52" s="3">
        <v>60345235</v>
      </c>
      <c r="D52" s="3" t="s">
        <v>169</v>
      </c>
      <c r="E52" s="3">
        <v>3219593735</v>
      </c>
      <c r="F52" s="3" t="s">
        <v>254</v>
      </c>
      <c r="G52" s="3">
        <v>89</v>
      </c>
      <c r="H52" s="3" t="s">
        <v>69</v>
      </c>
      <c r="I52" s="3" t="s">
        <v>33</v>
      </c>
      <c r="J52" s="3" t="s">
        <v>34</v>
      </c>
      <c r="K52" s="3"/>
      <c r="L52" s="3"/>
      <c r="M52" s="3"/>
      <c r="N52" s="3" t="s">
        <v>35</v>
      </c>
      <c r="O52" s="3" t="s">
        <v>36</v>
      </c>
      <c r="P52" s="4">
        <v>45935.339236111111</v>
      </c>
      <c r="Q52" s="3">
        <v>7777777</v>
      </c>
      <c r="R52" s="3" t="s">
        <v>37</v>
      </c>
      <c r="S52" s="3"/>
      <c r="T52" s="3"/>
      <c r="U52" s="5" t="s">
        <v>38</v>
      </c>
      <c r="V52" s="3"/>
      <c r="W52" s="3" t="s">
        <v>60</v>
      </c>
      <c r="X52" s="3" t="s">
        <v>40</v>
      </c>
      <c r="Y52" s="3" t="s">
        <v>41</v>
      </c>
      <c r="Z52" s="3" t="s">
        <v>70</v>
      </c>
      <c r="AA52" s="3" t="s">
        <v>43</v>
      </c>
      <c r="AB52" s="3" t="s">
        <v>40</v>
      </c>
      <c r="AC52" t="str">
        <f>IFERROR(VLOOKUP(C52,MigradosEfectivamente!B:B,1,FALSE),"No encontrado")</f>
        <v>No encontrado</v>
      </c>
    </row>
    <row r="53" spans="1:29" ht="60" x14ac:dyDescent="0.25">
      <c r="A53" s="3" t="s">
        <v>255</v>
      </c>
      <c r="B53" s="3" t="s">
        <v>256</v>
      </c>
      <c r="C53" s="3">
        <v>1007470497</v>
      </c>
      <c r="D53" s="3" t="s">
        <v>257</v>
      </c>
      <c r="E53" s="3" t="s">
        <v>258</v>
      </c>
      <c r="F53" s="3" t="s">
        <v>259</v>
      </c>
      <c r="G53" s="3">
        <v>89</v>
      </c>
      <c r="H53" s="3" t="s">
        <v>97</v>
      </c>
      <c r="I53" s="3" t="s">
        <v>33</v>
      </c>
      <c r="J53" s="3" t="s">
        <v>34</v>
      </c>
      <c r="K53" s="3"/>
      <c r="L53" s="3"/>
      <c r="M53" s="3"/>
      <c r="N53" s="3" t="s">
        <v>35</v>
      </c>
      <c r="O53" s="3" t="s">
        <v>36</v>
      </c>
      <c r="P53" s="4">
        <v>45934.339398148149</v>
      </c>
      <c r="Q53" s="3">
        <v>7777777</v>
      </c>
      <c r="R53" s="3" t="s">
        <v>37</v>
      </c>
      <c r="S53" s="3"/>
      <c r="T53" s="3"/>
      <c r="U53" s="5" t="s">
        <v>38</v>
      </c>
      <c r="V53" s="3"/>
      <c r="W53" s="3" t="s">
        <v>60</v>
      </c>
      <c r="X53" s="3" t="s">
        <v>40</v>
      </c>
      <c r="Y53" s="3" t="s">
        <v>41</v>
      </c>
      <c r="Z53" s="3" t="s">
        <v>92</v>
      </c>
      <c r="AA53" s="3" t="s">
        <v>43</v>
      </c>
      <c r="AB53" s="3" t="s">
        <v>40</v>
      </c>
      <c r="AC53" t="str">
        <f>IFERROR(VLOOKUP(C53,MigradosEfectivamente!B:B,1,FALSE),"No encontrado")</f>
        <v>No encontrado</v>
      </c>
    </row>
    <row r="54" spans="1:29" ht="60" x14ac:dyDescent="0.25">
      <c r="A54" s="3" t="s">
        <v>260</v>
      </c>
      <c r="B54" s="3" t="s">
        <v>261</v>
      </c>
      <c r="C54" s="3">
        <v>60364174</v>
      </c>
      <c r="D54" s="3" t="s">
        <v>262</v>
      </c>
      <c r="E54" s="3">
        <v>3012675504</v>
      </c>
      <c r="F54" s="3" t="s">
        <v>263</v>
      </c>
      <c r="G54" s="3">
        <v>89</v>
      </c>
      <c r="H54" s="3" t="s">
        <v>136</v>
      </c>
      <c r="I54" s="3" t="s">
        <v>33</v>
      </c>
      <c r="J54" s="3" t="s">
        <v>34</v>
      </c>
      <c r="K54" s="3"/>
      <c r="L54" s="3"/>
      <c r="M54" s="3"/>
      <c r="N54" s="3" t="s">
        <v>35</v>
      </c>
      <c r="O54" s="3" t="s">
        <v>36</v>
      </c>
      <c r="P54" s="4">
        <v>45934.339120370372</v>
      </c>
      <c r="Q54" s="3">
        <v>7777777</v>
      </c>
      <c r="R54" s="3" t="s">
        <v>37</v>
      </c>
      <c r="S54" s="3"/>
      <c r="T54" s="3"/>
      <c r="U54" s="5" t="s">
        <v>38</v>
      </c>
      <c r="V54" s="3"/>
      <c r="W54" s="3" t="s">
        <v>60</v>
      </c>
      <c r="X54" s="3" t="s">
        <v>41</v>
      </c>
      <c r="Y54" s="3" t="s">
        <v>41</v>
      </c>
      <c r="Z54" s="3" t="s">
        <v>92</v>
      </c>
      <c r="AA54" s="3" t="s">
        <v>49</v>
      </c>
      <c r="AB54" s="3" t="s">
        <v>40</v>
      </c>
      <c r="AC54" t="str">
        <f>IFERROR(VLOOKUP(C54,MigradosEfectivamente!B:B,1,FALSE),"No encontrado")</f>
        <v>No encontrado</v>
      </c>
    </row>
    <row r="55" spans="1:29" ht="60" x14ac:dyDescent="0.25">
      <c r="A55" s="3" t="s">
        <v>264</v>
      </c>
      <c r="B55" s="3" t="s">
        <v>265</v>
      </c>
      <c r="C55" s="3">
        <v>1277816</v>
      </c>
      <c r="D55" s="3" t="s">
        <v>169</v>
      </c>
      <c r="E55" s="3">
        <v>3015667516</v>
      </c>
      <c r="F55" s="3" t="s">
        <v>266</v>
      </c>
      <c r="G55" s="3">
        <v>89</v>
      </c>
      <c r="H55" s="3" t="s">
        <v>110</v>
      </c>
      <c r="I55" s="3" t="s">
        <v>82</v>
      </c>
      <c r="J55" s="3" t="s">
        <v>34</v>
      </c>
      <c r="K55" s="3"/>
      <c r="L55" s="3"/>
      <c r="M55" s="3"/>
      <c r="N55" s="3" t="s">
        <v>35</v>
      </c>
      <c r="O55" s="3" t="s">
        <v>36</v>
      </c>
      <c r="P55" s="4">
        <v>45934.333981481483</v>
      </c>
      <c r="Q55" s="3">
        <v>7777777</v>
      </c>
      <c r="R55" s="3" t="s">
        <v>37</v>
      </c>
      <c r="S55" s="3"/>
      <c r="T55" s="3"/>
      <c r="U55" s="5" t="s">
        <v>38</v>
      </c>
      <c r="V55" s="3"/>
      <c r="W55" s="3" t="s">
        <v>60</v>
      </c>
      <c r="X55" s="3" t="s">
        <v>40</v>
      </c>
      <c r="Y55" s="3" t="s">
        <v>41</v>
      </c>
      <c r="Z55" s="3" t="s">
        <v>42</v>
      </c>
      <c r="AA55" s="3" t="s">
        <v>43</v>
      </c>
      <c r="AB55" s="3" t="s">
        <v>40</v>
      </c>
      <c r="AC55" t="str">
        <f>IFERROR(VLOOKUP(C55,MigradosEfectivamente!B:B,1,FALSE),"No encontrado")</f>
        <v>No encontrado</v>
      </c>
    </row>
    <row r="56" spans="1:29" ht="60" x14ac:dyDescent="0.25">
      <c r="A56" s="3">
        <v>23531</v>
      </c>
      <c r="B56" s="3" t="s">
        <v>267</v>
      </c>
      <c r="C56" s="3">
        <v>1102388335</v>
      </c>
      <c r="D56" s="3" t="s">
        <v>57</v>
      </c>
      <c r="E56" s="3">
        <v>3135860662</v>
      </c>
      <c r="F56" s="3" t="s">
        <v>268</v>
      </c>
      <c r="G56" s="3">
        <v>99</v>
      </c>
      <c r="H56" s="3" t="s">
        <v>269</v>
      </c>
      <c r="I56" s="3" t="s">
        <v>82</v>
      </c>
      <c r="J56" s="3" t="s">
        <v>34</v>
      </c>
      <c r="K56" s="3"/>
      <c r="L56" s="3"/>
      <c r="M56" s="3"/>
      <c r="N56" s="3" t="s">
        <v>35</v>
      </c>
      <c r="O56" s="3" t="s">
        <v>83</v>
      </c>
      <c r="P56" s="4">
        <v>45934.333692129629</v>
      </c>
      <c r="Q56" s="3">
        <v>7777777</v>
      </c>
      <c r="R56" s="3" t="s">
        <v>37</v>
      </c>
      <c r="S56" s="3"/>
      <c r="T56" s="3"/>
      <c r="U56" s="5" t="s">
        <v>38</v>
      </c>
      <c r="V56" s="3"/>
      <c r="W56" s="3" t="s">
        <v>60</v>
      </c>
      <c r="X56" s="3" t="s">
        <v>41</v>
      </c>
      <c r="Y56" s="3" t="s">
        <v>41</v>
      </c>
      <c r="Z56" s="3" t="s">
        <v>42</v>
      </c>
      <c r="AA56" s="3" t="s">
        <v>43</v>
      </c>
      <c r="AB56" s="3" t="s">
        <v>40</v>
      </c>
      <c r="AC56" t="str">
        <f>IFERROR(VLOOKUP(C56,MigradosEfectivamente!B:B,1,FALSE),"No encontrado")</f>
        <v>No encontrado</v>
      </c>
    </row>
    <row r="57" spans="1:29" ht="45" x14ac:dyDescent="0.25">
      <c r="A57" s="3" t="s">
        <v>270</v>
      </c>
      <c r="B57" s="3" t="s">
        <v>271</v>
      </c>
      <c r="C57" s="3">
        <v>1004819048</v>
      </c>
      <c r="D57" s="3" t="s">
        <v>272</v>
      </c>
      <c r="E57" s="3">
        <v>3219684977</v>
      </c>
      <c r="F57" s="3" t="s">
        <v>273</v>
      </c>
      <c r="G57" s="3">
        <v>89</v>
      </c>
      <c r="H57" s="3" t="s">
        <v>32</v>
      </c>
      <c r="I57" s="3" t="s">
        <v>33</v>
      </c>
      <c r="J57" s="3" t="s">
        <v>34</v>
      </c>
      <c r="K57" s="3"/>
      <c r="L57" s="3"/>
      <c r="M57" s="3"/>
      <c r="N57" s="3" t="s">
        <v>35</v>
      </c>
      <c r="O57" s="3" t="s">
        <v>36</v>
      </c>
      <c r="P57" s="4">
        <v>45934.181550925925</v>
      </c>
      <c r="Q57" s="3">
        <v>7777777</v>
      </c>
      <c r="R57" s="3" t="s">
        <v>37</v>
      </c>
      <c r="S57" s="3"/>
      <c r="T57" s="3"/>
      <c r="U57" s="5" t="s">
        <v>38</v>
      </c>
      <c r="V57" s="3"/>
      <c r="W57" s="3" t="s">
        <v>39</v>
      </c>
      <c r="X57" s="3" t="s">
        <v>40</v>
      </c>
      <c r="Y57" s="3" t="s">
        <v>41</v>
      </c>
      <c r="Z57" s="3" t="s">
        <v>42</v>
      </c>
      <c r="AA57" s="3" t="s">
        <v>43</v>
      </c>
      <c r="AB57" s="3" t="s">
        <v>40</v>
      </c>
      <c r="AC57" t="str">
        <f>IFERROR(VLOOKUP(C57,MigradosEfectivamente!B:B,1,FALSE),"No encontrado")</f>
        <v>No encontrado</v>
      </c>
    </row>
    <row r="58" spans="1:29" ht="60" x14ac:dyDescent="0.25">
      <c r="A58" s="3" t="s">
        <v>274</v>
      </c>
      <c r="B58" s="3" t="s">
        <v>275</v>
      </c>
      <c r="C58" s="3">
        <v>1193477337</v>
      </c>
      <c r="D58" s="3" t="s">
        <v>276</v>
      </c>
      <c r="E58" s="3">
        <v>3208101240</v>
      </c>
      <c r="F58" s="3" t="s">
        <v>277</v>
      </c>
      <c r="G58" s="3">
        <v>89</v>
      </c>
      <c r="H58" s="3" t="s">
        <v>136</v>
      </c>
      <c r="I58" s="3" t="s">
        <v>33</v>
      </c>
      <c r="J58" s="3" t="s">
        <v>34</v>
      </c>
      <c r="K58" s="3"/>
      <c r="L58" s="3"/>
      <c r="M58" s="3"/>
      <c r="N58" s="3" t="s">
        <v>35</v>
      </c>
      <c r="O58" s="3" t="s">
        <v>36</v>
      </c>
      <c r="P58" s="4">
        <v>45933.879166666666</v>
      </c>
      <c r="Q58" s="3">
        <v>7777777</v>
      </c>
      <c r="R58" s="3" t="s">
        <v>37</v>
      </c>
      <c r="S58" s="3"/>
      <c r="T58" s="3"/>
      <c r="U58" s="5" t="s">
        <v>38</v>
      </c>
      <c r="V58" s="3"/>
      <c r="W58" s="3" t="s">
        <v>60</v>
      </c>
      <c r="X58" s="3" t="s">
        <v>40</v>
      </c>
      <c r="Y58" s="3" t="s">
        <v>41</v>
      </c>
      <c r="Z58" s="3" t="s">
        <v>42</v>
      </c>
      <c r="AA58" s="3" t="s">
        <v>49</v>
      </c>
      <c r="AB58" s="3" t="s">
        <v>40</v>
      </c>
      <c r="AC58" t="str">
        <f>IFERROR(VLOOKUP(C58,MigradosEfectivamente!B:B,1,FALSE),"No encontrado")</f>
        <v>No encontrado</v>
      </c>
    </row>
    <row r="59" spans="1:29" ht="60" x14ac:dyDescent="0.25">
      <c r="A59" s="3" t="s">
        <v>278</v>
      </c>
      <c r="B59" s="3" t="s">
        <v>279</v>
      </c>
      <c r="C59" s="3">
        <v>1098768349</v>
      </c>
      <c r="D59" s="3" t="s">
        <v>90</v>
      </c>
      <c r="E59" s="3" t="s">
        <v>280</v>
      </c>
      <c r="F59" s="3" t="s">
        <v>281</v>
      </c>
      <c r="G59" s="3">
        <v>89</v>
      </c>
      <c r="H59" s="3" t="s">
        <v>48</v>
      </c>
      <c r="I59" s="3" t="s">
        <v>33</v>
      </c>
      <c r="J59" s="3" t="s">
        <v>34</v>
      </c>
      <c r="K59" s="3"/>
      <c r="L59" s="3"/>
      <c r="M59" s="3"/>
      <c r="N59" s="3" t="s">
        <v>35</v>
      </c>
      <c r="O59" s="3" t="s">
        <v>36</v>
      </c>
      <c r="P59" s="4">
        <v>45933.87871527778</v>
      </c>
      <c r="Q59" s="3">
        <v>7777777</v>
      </c>
      <c r="R59" s="3" t="s">
        <v>37</v>
      </c>
      <c r="S59" s="3"/>
      <c r="T59" s="3"/>
      <c r="U59" s="5" t="s">
        <v>38</v>
      </c>
      <c r="V59" s="3"/>
      <c r="W59" s="3" t="s">
        <v>60</v>
      </c>
      <c r="X59" s="3" t="s">
        <v>40</v>
      </c>
      <c r="Y59" s="3" t="s">
        <v>41</v>
      </c>
      <c r="Z59" s="3" t="s">
        <v>42</v>
      </c>
      <c r="AA59" s="3" t="s">
        <v>49</v>
      </c>
      <c r="AB59" s="3" t="s">
        <v>40</v>
      </c>
      <c r="AC59" t="str">
        <f>IFERROR(VLOOKUP(C59,MigradosEfectivamente!B:B,1,FALSE),"No encontrado")</f>
        <v>No encontrado</v>
      </c>
    </row>
    <row r="60" spans="1:29" ht="60" x14ac:dyDescent="0.25">
      <c r="A60" s="3" t="s">
        <v>282</v>
      </c>
      <c r="B60" s="3" t="s">
        <v>283</v>
      </c>
      <c r="C60" s="3">
        <v>1081909917</v>
      </c>
      <c r="D60" s="3" t="s">
        <v>284</v>
      </c>
      <c r="E60" s="3">
        <v>3024874820</v>
      </c>
      <c r="F60" s="3" t="s">
        <v>285</v>
      </c>
      <c r="G60" s="3">
        <v>89</v>
      </c>
      <c r="H60" s="3" t="s">
        <v>48</v>
      </c>
      <c r="I60" s="3" t="s">
        <v>82</v>
      </c>
      <c r="J60" s="3" t="s">
        <v>34</v>
      </c>
      <c r="K60" s="3"/>
      <c r="L60" s="3"/>
      <c r="M60" s="3"/>
      <c r="N60" s="3" t="s">
        <v>35</v>
      </c>
      <c r="O60" s="3" t="s">
        <v>36</v>
      </c>
      <c r="P60" s="4">
        <v>45933.584745370368</v>
      </c>
      <c r="Q60" s="3">
        <v>7777777</v>
      </c>
      <c r="R60" s="3" t="s">
        <v>37</v>
      </c>
      <c r="S60" s="3"/>
      <c r="T60" s="3"/>
      <c r="U60" s="5" t="s">
        <v>38</v>
      </c>
      <c r="V60" s="3"/>
      <c r="W60" s="3" t="s">
        <v>60</v>
      </c>
      <c r="X60" s="3" t="s">
        <v>40</v>
      </c>
      <c r="Y60" s="3" t="s">
        <v>41</v>
      </c>
      <c r="Z60" s="3" t="s">
        <v>42</v>
      </c>
      <c r="AA60" s="3" t="s">
        <v>49</v>
      </c>
      <c r="AB60" s="3" t="s">
        <v>40</v>
      </c>
      <c r="AC60" t="str">
        <f>IFERROR(VLOOKUP(C60,MigradosEfectivamente!B:B,1,FALSE),"No encontrado")</f>
        <v>No encontrado</v>
      </c>
    </row>
    <row r="61" spans="1:29" ht="60" x14ac:dyDescent="0.25">
      <c r="A61" s="3" t="s">
        <v>286</v>
      </c>
      <c r="B61" s="3" t="s">
        <v>287</v>
      </c>
      <c r="C61" s="3">
        <v>1090501397</v>
      </c>
      <c r="D61" s="3" t="s">
        <v>288</v>
      </c>
      <c r="E61" s="3">
        <v>3168197952</v>
      </c>
      <c r="F61" s="3" t="s">
        <v>289</v>
      </c>
      <c r="G61" s="3">
        <v>89</v>
      </c>
      <c r="H61" s="3" t="s">
        <v>69</v>
      </c>
      <c r="I61" s="3" t="s">
        <v>33</v>
      </c>
      <c r="J61" s="3" t="s">
        <v>34</v>
      </c>
      <c r="K61" s="3"/>
      <c r="L61" s="3"/>
      <c r="M61" s="3"/>
      <c r="N61" s="3" t="s">
        <v>35</v>
      </c>
      <c r="O61" s="3" t="s">
        <v>36</v>
      </c>
      <c r="P61" s="4">
        <v>45933.339861111112</v>
      </c>
      <c r="Q61" s="3">
        <v>7777777</v>
      </c>
      <c r="R61" s="3" t="s">
        <v>37</v>
      </c>
      <c r="S61" s="3"/>
      <c r="T61" s="3"/>
      <c r="U61" s="5" t="s">
        <v>38</v>
      </c>
      <c r="V61" s="3"/>
      <c r="W61" s="3" t="s">
        <v>60</v>
      </c>
      <c r="X61" s="3" t="s">
        <v>41</v>
      </c>
      <c r="Y61" s="3" t="s">
        <v>41</v>
      </c>
      <c r="Z61" s="3" t="s">
        <v>92</v>
      </c>
      <c r="AA61" s="3" t="s">
        <v>49</v>
      </c>
      <c r="AB61" s="3" t="s">
        <v>40</v>
      </c>
      <c r="AC61" t="str">
        <f>IFERROR(VLOOKUP(C61,MigradosEfectivamente!B:B,1,FALSE),"No encontrado")</f>
        <v>No encontrado</v>
      </c>
    </row>
    <row r="62" spans="1:29" ht="60" x14ac:dyDescent="0.25">
      <c r="A62" s="3" t="s">
        <v>290</v>
      </c>
      <c r="B62" s="3" t="s">
        <v>291</v>
      </c>
      <c r="C62" s="3">
        <v>1192923452</v>
      </c>
      <c r="D62" s="3" t="s">
        <v>122</v>
      </c>
      <c r="E62" s="3">
        <v>3015991574</v>
      </c>
      <c r="F62" s="3" t="s">
        <v>292</v>
      </c>
      <c r="G62" s="3">
        <v>99</v>
      </c>
      <c r="H62" s="3" t="s">
        <v>32</v>
      </c>
      <c r="I62" s="3" t="s">
        <v>82</v>
      </c>
      <c r="J62" s="3" t="s">
        <v>34</v>
      </c>
      <c r="K62" s="3"/>
      <c r="L62" s="3"/>
      <c r="M62" s="3"/>
      <c r="N62" s="3" t="s">
        <v>35</v>
      </c>
      <c r="O62" s="3" t="s">
        <v>83</v>
      </c>
      <c r="P62" s="4">
        <v>45933.339687500003</v>
      </c>
      <c r="Q62" s="3">
        <v>7777777</v>
      </c>
      <c r="R62" s="3" t="s">
        <v>37</v>
      </c>
      <c r="S62" s="3"/>
      <c r="T62" s="3"/>
      <c r="U62" s="5" t="s">
        <v>38</v>
      </c>
      <c r="V62" s="3"/>
      <c r="W62" s="3" t="s">
        <v>60</v>
      </c>
      <c r="X62" s="3" t="s">
        <v>41</v>
      </c>
      <c r="Y62" s="3" t="s">
        <v>41</v>
      </c>
      <c r="Z62" s="3" t="s">
        <v>42</v>
      </c>
      <c r="AA62" s="3" t="s">
        <v>49</v>
      </c>
      <c r="AB62" s="3" t="s">
        <v>40</v>
      </c>
      <c r="AC62" t="str">
        <f>IFERROR(VLOOKUP(C62,MigradosEfectivamente!B:B,1,FALSE),"No encontrado")</f>
        <v>No encontrado</v>
      </c>
    </row>
    <row r="63" spans="1:29" ht="60" x14ac:dyDescent="0.25">
      <c r="A63" s="3" t="s">
        <v>293</v>
      </c>
      <c r="B63" s="3" t="s">
        <v>294</v>
      </c>
      <c r="C63" s="3">
        <v>1098690840</v>
      </c>
      <c r="D63" s="3" t="s">
        <v>295</v>
      </c>
      <c r="E63" s="3">
        <v>3116518236</v>
      </c>
      <c r="F63" s="3" t="s">
        <v>296</v>
      </c>
      <c r="G63" s="3">
        <v>89</v>
      </c>
      <c r="H63" s="3" t="s">
        <v>48</v>
      </c>
      <c r="I63" s="3" t="s">
        <v>33</v>
      </c>
      <c r="J63" s="3" t="s">
        <v>34</v>
      </c>
      <c r="K63" s="3"/>
      <c r="L63" s="3"/>
      <c r="M63" s="3"/>
      <c r="N63" s="3" t="s">
        <v>35</v>
      </c>
      <c r="O63" s="3" t="s">
        <v>36</v>
      </c>
      <c r="P63" s="4">
        <v>45933.339629629627</v>
      </c>
      <c r="Q63" s="3">
        <v>7777777</v>
      </c>
      <c r="R63" s="3" t="s">
        <v>37</v>
      </c>
      <c r="S63" s="3"/>
      <c r="T63" s="3"/>
      <c r="U63" s="5" t="s">
        <v>38</v>
      </c>
      <c r="V63" s="3"/>
      <c r="W63" s="3" t="s">
        <v>60</v>
      </c>
      <c r="X63" s="3" t="s">
        <v>41</v>
      </c>
      <c r="Y63" s="3" t="s">
        <v>41</v>
      </c>
      <c r="Z63" s="3" t="s">
        <v>92</v>
      </c>
      <c r="AA63" s="3" t="s">
        <v>49</v>
      </c>
      <c r="AB63" s="3" t="s">
        <v>40</v>
      </c>
      <c r="AC63" t="str">
        <f>IFERROR(VLOOKUP(C63,MigradosEfectivamente!B:B,1,FALSE),"No encontrado")</f>
        <v>No encontrado</v>
      </c>
    </row>
    <row r="64" spans="1:29" ht="60" x14ac:dyDescent="0.25">
      <c r="A64" s="3" t="s">
        <v>297</v>
      </c>
      <c r="B64" s="3" t="s">
        <v>298</v>
      </c>
      <c r="C64" s="3">
        <v>1193137458</v>
      </c>
      <c r="D64" s="3" t="s">
        <v>299</v>
      </c>
      <c r="E64" s="3" t="s">
        <v>300</v>
      </c>
      <c r="F64" s="3" t="s">
        <v>301</v>
      </c>
      <c r="G64" s="3">
        <v>89</v>
      </c>
      <c r="H64" s="3" t="s">
        <v>59</v>
      </c>
      <c r="I64" s="3" t="s">
        <v>33</v>
      </c>
      <c r="J64" s="3" t="s">
        <v>34</v>
      </c>
      <c r="K64" s="3"/>
      <c r="L64" s="3"/>
      <c r="M64" s="3"/>
      <c r="N64" s="3" t="s">
        <v>35</v>
      </c>
      <c r="O64" s="3" t="s">
        <v>36</v>
      </c>
      <c r="P64" s="4">
        <v>45933.338622685187</v>
      </c>
      <c r="Q64" s="3">
        <v>7777777</v>
      </c>
      <c r="R64" s="3" t="s">
        <v>37</v>
      </c>
      <c r="S64" s="3"/>
      <c r="T64" s="3"/>
      <c r="U64" s="5" t="s">
        <v>38</v>
      </c>
      <c r="V64" s="3"/>
      <c r="W64" s="3" t="s">
        <v>60</v>
      </c>
      <c r="X64" s="3" t="s">
        <v>41</v>
      </c>
      <c r="Y64" s="3" t="s">
        <v>41</v>
      </c>
      <c r="Z64" s="3" t="s">
        <v>42</v>
      </c>
      <c r="AA64" s="3" t="s">
        <v>49</v>
      </c>
      <c r="AB64" s="3" t="s">
        <v>40</v>
      </c>
      <c r="AC64" t="str">
        <f>IFERROR(VLOOKUP(C64,MigradosEfectivamente!B:B,1,FALSE),"No encontrado")</f>
        <v>No encontrado</v>
      </c>
    </row>
    <row r="65" spans="1:29" ht="60" x14ac:dyDescent="0.25">
      <c r="A65" s="3" t="s">
        <v>302</v>
      </c>
      <c r="B65" s="3" t="s">
        <v>303</v>
      </c>
      <c r="C65" s="3">
        <v>1090477739</v>
      </c>
      <c r="D65" s="3" t="s">
        <v>304</v>
      </c>
      <c r="E65" s="3">
        <v>3165350882</v>
      </c>
      <c r="F65" s="3" t="s">
        <v>305</v>
      </c>
      <c r="G65" s="3">
        <v>89</v>
      </c>
      <c r="H65" s="3" t="s">
        <v>136</v>
      </c>
      <c r="I65" s="3" t="s">
        <v>33</v>
      </c>
      <c r="J65" s="3" t="s">
        <v>34</v>
      </c>
      <c r="K65" s="3"/>
      <c r="L65" s="3"/>
      <c r="M65" s="3"/>
      <c r="N65" s="3" t="s">
        <v>35</v>
      </c>
      <c r="O65" s="3" t="s">
        <v>36</v>
      </c>
      <c r="P65" s="4">
        <v>45933.338171296295</v>
      </c>
      <c r="Q65" s="3">
        <v>7777777</v>
      </c>
      <c r="R65" s="3" t="s">
        <v>37</v>
      </c>
      <c r="S65" s="3"/>
      <c r="T65" s="3"/>
      <c r="U65" s="5" t="s">
        <v>38</v>
      </c>
      <c r="V65" s="3"/>
      <c r="W65" s="3" t="s">
        <v>60</v>
      </c>
      <c r="X65" s="3" t="s">
        <v>40</v>
      </c>
      <c r="Y65" s="3" t="s">
        <v>41</v>
      </c>
      <c r="Z65" s="3" t="s">
        <v>42</v>
      </c>
      <c r="AA65" s="3" t="s">
        <v>49</v>
      </c>
      <c r="AB65" s="3" t="s">
        <v>40</v>
      </c>
      <c r="AC65" t="str">
        <f>IFERROR(VLOOKUP(C65,MigradosEfectivamente!B:B,1,FALSE),"No encontrado")</f>
        <v>No encontrado</v>
      </c>
    </row>
    <row r="66" spans="1:29" ht="60" x14ac:dyDescent="0.25">
      <c r="A66" s="3" t="s">
        <v>306</v>
      </c>
      <c r="B66" s="3" t="s">
        <v>307</v>
      </c>
      <c r="C66" s="3">
        <v>1054876715</v>
      </c>
      <c r="D66" s="3" t="s">
        <v>288</v>
      </c>
      <c r="E66" s="3">
        <v>3225205446</v>
      </c>
      <c r="F66" s="3" t="s">
        <v>308</v>
      </c>
      <c r="G66" s="3">
        <v>99</v>
      </c>
      <c r="H66" s="3" t="s">
        <v>69</v>
      </c>
      <c r="I66" s="3" t="s">
        <v>82</v>
      </c>
      <c r="J66" s="3" t="s">
        <v>34</v>
      </c>
      <c r="K66" s="3"/>
      <c r="L66" s="3"/>
      <c r="M66" s="3"/>
      <c r="N66" s="3" t="s">
        <v>35</v>
      </c>
      <c r="O66" s="3" t="s">
        <v>83</v>
      </c>
      <c r="P66" s="4">
        <v>45933.337881944448</v>
      </c>
      <c r="Q66" s="3">
        <v>7777777</v>
      </c>
      <c r="R66" s="3" t="s">
        <v>37</v>
      </c>
      <c r="S66" s="3"/>
      <c r="T66" s="3"/>
      <c r="U66" s="5" t="s">
        <v>38</v>
      </c>
      <c r="V66" s="3"/>
      <c r="W66" s="3" t="s">
        <v>60</v>
      </c>
      <c r="X66" s="3" t="s">
        <v>40</v>
      </c>
      <c r="Y66" s="3" t="s">
        <v>41</v>
      </c>
      <c r="Z66" s="3" t="s">
        <v>42</v>
      </c>
      <c r="AA66" s="3" t="s">
        <v>49</v>
      </c>
      <c r="AB66" s="3" t="s">
        <v>40</v>
      </c>
      <c r="AC66" t="str">
        <f>IFERROR(VLOOKUP(C66,MigradosEfectivamente!B:B,1,FALSE),"No encontrado")</f>
        <v>No encontrado</v>
      </c>
    </row>
    <row r="67" spans="1:29" ht="60" x14ac:dyDescent="0.25">
      <c r="A67" s="3" t="s">
        <v>309</v>
      </c>
      <c r="B67" s="3" t="s">
        <v>310</v>
      </c>
      <c r="C67" s="3">
        <v>13874553</v>
      </c>
      <c r="D67" s="3" t="s">
        <v>311</v>
      </c>
      <c r="E67" s="3">
        <v>3112608984</v>
      </c>
      <c r="F67" s="3" t="s">
        <v>312</v>
      </c>
      <c r="G67" s="3">
        <v>89</v>
      </c>
      <c r="H67" s="3" t="s">
        <v>97</v>
      </c>
      <c r="I67" s="3" t="s">
        <v>33</v>
      </c>
      <c r="J67" s="3" t="s">
        <v>34</v>
      </c>
      <c r="K67" s="3"/>
      <c r="L67" s="3"/>
      <c r="M67" s="3"/>
      <c r="N67" s="3" t="s">
        <v>35</v>
      </c>
      <c r="O67" s="3" t="s">
        <v>36</v>
      </c>
      <c r="P67" s="4">
        <v>45933.335648148146</v>
      </c>
      <c r="Q67" s="3">
        <v>7777777</v>
      </c>
      <c r="R67" s="3" t="s">
        <v>37</v>
      </c>
      <c r="S67" s="3"/>
      <c r="T67" s="3"/>
      <c r="U67" s="5" t="s">
        <v>38</v>
      </c>
      <c r="V67" s="3"/>
      <c r="W67" s="3" t="s">
        <v>60</v>
      </c>
      <c r="X67" s="3" t="s">
        <v>41</v>
      </c>
      <c r="Y67" s="3" t="s">
        <v>41</v>
      </c>
      <c r="Z67" s="3" t="s">
        <v>42</v>
      </c>
      <c r="AA67" s="3" t="s">
        <v>49</v>
      </c>
      <c r="AB67" s="3" t="s">
        <v>40</v>
      </c>
      <c r="AC67" t="str">
        <f>IFERROR(VLOOKUP(C67,MigradosEfectivamente!B:B,1,FALSE),"No encontrado")</f>
        <v>No encontrado</v>
      </c>
    </row>
    <row r="68" spans="1:29" ht="60" x14ac:dyDescent="0.25">
      <c r="A68" s="3" t="s">
        <v>313</v>
      </c>
      <c r="B68" s="3" t="s">
        <v>314</v>
      </c>
      <c r="C68" s="3">
        <v>60335443</v>
      </c>
      <c r="D68" s="3" t="s">
        <v>315</v>
      </c>
      <c r="E68" s="3">
        <v>3155838829</v>
      </c>
      <c r="F68" s="3" t="s">
        <v>316</v>
      </c>
      <c r="G68" s="3">
        <v>89</v>
      </c>
      <c r="H68" s="3" t="s">
        <v>69</v>
      </c>
      <c r="I68" s="3" t="s">
        <v>33</v>
      </c>
      <c r="J68" s="3" t="s">
        <v>34</v>
      </c>
      <c r="K68" s="3"/>
      <c r="L68" s="3"/>
      <c r="M68" s="3"/>
      <c r="N68" s="3" t="s">
        <v>35</v>
      </c>
      <c r="O68" s="3" t="s">
        <v>36</v>
      </c>
      <c r="P68" s="4">
        <v>45933.335532407407</v>
      </c>
      <c r="Q68" s="3">
        <v>7777777</v>
      </c>
      <c r="R68" s="3" t="s">
        <v>37</v>
      </c>
      <c r="S68" s="3"/>
      <c r="T68" s="3"/>
      <c r="U68" s="5" t="s">
        <v>38</v>
      </c>
      <c r="V68" s="3"/>
      <c r="W68" s="3" t="s">
        <v>60</v>
      </c>
      <c r="X68" s="3" t="s">
        <v>40</v>
      </c>
      <c r="Y68" s="3" t="s">
        <v>41</v>
      </c>
      <c r="Z68" s="3" t="s">
        <v>42</v>
      </c>
      <c r="AA68" s="3" t="s">
        <v>49</v>
      </c>
      <c r="AB68" s="3" t="s">
        <v>40</v>
      </c>
      <c r="AC68" t="str">
        <f>IFERROR(VLOOKUP(C68,MigradosEfectivamente!B:B,1,FALSE),"No encontrado")</f>
        <v>No encontrado</v>
      </c>
    </row>
    <row r="69" spans="1:29" ht="60" x14ac:dyDescent="0.25">
      <c r="A69" s="3" t="s">
        <v>317</v>
      </c>
      <c r="B69" s="3" t="s">
        <v>318</v>
      </c>
      <c r="C69" s="3">
        <v>1096224121</v>
      </c>
      <c r="D69" s="3" t="s">
        <v>319</v>
      </c>
      <c r="E69" s="3">
        <v>3229707391</v>
      </c>
      <c r="F69" s="3" t="s">
        <v>320</v>
      </c>
      <c r="G69" s="3">
        <v>89</v>
      </c>
      <c r="H69" s="3" t="s">
        <v>48</v>
      </c>
      <c r="I69" s="3" t="s">
        <v>33</v>
      </c>
      <c r="J69" s="3" t="s">
        <v>34</v>
      </c>
      <c r="K69" s="3"/>
      <c r="L69" s="3"/>
      <c r="M69" s="3"/>
      <c r="N69" s="3" t="s">
        <v>35</v>
      </c>
      <c r="O69" s="3" t="s">
        <v>36</v>
      </c>
      <c r="P69" s="4">
        <v>45933.335358796299</v>
      </c>
      <c r="Q69" s="3">
        <v>7777777</v>
      </c>
      <c r="R69" s="3" t="s">
        <v>37</v>
      </c>
      <c r="S69" s="3"/>
      <c r="T69" s="3"/>
      <c r="U69" s="5" t="s">
        <v>38</v>
      </c>
      <c r="V69" s="3"/>
      <c r="W69" s="3" t="s">
        <v>60</v>
      </c>
      <c r="X69" s="3" t="s">
        <v>40</v>
      </c>
      <c r="Y69" s="3" t="s">
        <v>41</v>
      </c>
      <c r="Z69" s="3" t="s">
        <v>42</v>
      </c>
      <c r="AA69" s="3" t="s">
        <v>49</v>
      </c>
      <c r="AB69" s="3" t="s">
        <v>40</v>
      </c>
      <c r="AC69" t="str">
        <f>IFERROR(VLOOKUP(C69,MigradosEfectivamente!B:B,1,FALSE),"No encontrado")</f>
        <v>No encontrado</v>
      </c>
    </row>
    <row r="70" spans="1:29" ht="60" x14ac:dyDescent="0.25">
      <c r="A70" s="3" t="s">
        <v>321</v>
      </c>
      <c r="B70" s="3" t="s">
        <v>322</v>
      </c>
      <c r="C70" s="3">
        <v>1090466959</v>
      </c>
      <c r="D70" s="3" t="s">
        <v>80</v>
      </c>
      <c r="E70" s="3">
        <v>3107738491</v>
      </c>
      <c r="F70" s="3" t="s">
        <v>323</v>
      </c>
      <c r="G70" s="3">
        <v>89</v>
      </c>
      <c r="H70" s="3" t="s">
        <v>136</v>
      </c>
      <c r="I70" s="3" t="s">
        <v>33</v>
      </c>
      <c r="J70" s="3" t="s">
        <v>34</v>
      </c>
      <c r="K70" s="3"/>
      <c r="L70" s="3"/>
      <c r="M70" s="3"/>
      <c r="N70" s="3" t="s">
        <v>35</v>
      </c>
      <c r="O70" s="3" t="s">
        <v>36</v>
      </c>
      <c r="P70" s="4">
        <v>45933.33388888889</v>
      </c>
      <c r="Q70" s="3">
        <v>7777777</v>
      </c>
      <c r="R70" s="3" t="s">
        <v>37</v>
      </c>
      <c r="S70" s="3"/>
      <c r="T70" s="3"/>
      <c r="U70" s="5" t="s">
        <v>38</v>
      </c>
      <c r="V70" s="3"/>
      <c r="W70" s="3" t="s">
        <v>60</v>
      </c>
      <c r="X70" s="3" t="s">
        <v>41</v>
      </c>
      <c r="Y70" s="3" t="s">
        <v>41</v>
      </c>
      <c r="Z70" s="3" t="s">
        <v>42</v>
      </c>
      <c r="AA70" s="3" t="s">
        <v>49</v>
      </c>
      <c r="AB70" s="3" t="s">
        <v>40</v>
      </c>
      <c r="AC70" t="str">
        <f>IFERROR(VLOOKUP(C70,MigradosEfectivamente!B:B,1,FALSE),"No encontrado")</f>
        <v>No encontrado</v>
      </c>
    </row>
    <row r="71" spans="1:29" ht="60" x14ac:dyDescent="0.25">
      <c r="A71" s="3">
        <v>23518</v>
      </c>
      <c r="B71" s="3" t="s">
        <v>324</v>
      </c>
      <c r="C71" s="3">
        <v>1102378360</v>
      </c>
      <c r="D71" s="3" t="s">
        <v>325</v>
      </c>
      <c r="E71" s="3">
        <v>3187821228</v>
      </c>
      <c r="F71" s="3" t="s">
        <v>326</v>
      </c>
      <c r="G71" s="3">
        <v>89</v>
      </c>
      <c r="H71" s="3" t="s">
        <v>269</v>
      </c>
      <c r="I71" s="3" t="s">
        <v>33</v>
      </c>
      <c r="J71" s="3" t="s">
        <v>34</v>
      </c>
      <c r="K71" s="3"/>
      <c r="L71" s="3"/>
      <c r="M71" s="3"/>
      <c r="N71" s="3" t="s">
        <v>35</v>
      </c>
      <c r="O71" s="3" t="s">
        <v>36</v>
      </c>
      <c r="P71" s="4">
        <v>45932.877152777779</v>
      </c>
      <c r="Q71" s="3">
        <v>7777777</v>
      </c>
      <c r="R71" s="3" t="s">
        <v>37</v>
      </c>
      <c r="S71" s="3"/>
      <c r="T71" s="3"/>
      <c r="U71" s="5" t="s">
        <v>38</v>
      </c>
      <c r="V71" s="3"/>
      <c r="W71" s="3" t="s">
        <v>60</v>
      </c>
      <c r="X71" s="3" t="s">
        <v>40</v>
      </c>
      <c r="Y71" s="3" t="s">
        <v>41</v>
      </c>
      <c r="Z71" s="3" t="s">
        <v>42</v>
      </c>
      <c r="AA71" s="3" t="s">
        <v>43</v>
      </c>
      <c r="AB71" s="3" t="s">
        <v>40</v>
      </c>
      <c r="AC71" t="str">
        <f>IFERROR(VLOOKUP(C71,MigradosEfectivamente!B:B,1,FALSE),"No encontrado")</f>
        <v>No encontrado</v>
      </c>
    </row>
    <row r="72" spans="1:29" ht="60" x14ac:dyDescent="0.25">
      <c r="A72" s="3" t="s">
        <v>327</v>
      </c>
      <c r="B72" s="3" t="s">
        <v>328</v>
      </c>
      <c r="C72" s="3">
        <v>1098618779</v>
      </c>
      <c r="D72" s="3" t="s">
        <v>329</v>
      </c>
      <c r="E72" s="3">
        <v>3143085892</v>
      </c>
      <c r="F72" s="3" t="s">
        <v>330</v>
      </c>
      <c r="G72" s="3">
        <v>89</v>
      </c>
      <c r="H72" s="3" t="s">
        <v>48</v>
      </c>
      <c r="I72" s="3" t="s">
        <v>33</v>
      </c>
      <c r="J72" s="3" t="s">
        <v>34</v>
      </c>
      <c r="K72" s="3"/>
      <c r="L72" s="3"/>
      <c r="M72" s="3"/>
      <c r="N72" s="3" t="s">
        <v>35</v>
      </c>
      <c r="O72" s="3" t="s">
        <v>36</v>
      </c>
      <c r="P72" s="4">
        <v>45932.876921296294</v>
      </c>
      <c r="Q72" s="3">
        <v>7777777</v>
      </c>
      <c r="R72" s="3" t="s">
        <v>37</v>
      </c>
      <c r="S72" s="3"/>
      <c r="T72" s="3"/>
      <c r="U72" s="5" t="s">
        <v>38</v>
      </c>
      <c r="V72" s="3"/>
      <c r="W72" s="3" t="s">
        <v>60</v>
      </c>
      <c r="X72" s="3" t="s">
        <v>40</v>
      </c>
      <c r="Y72" s="3" t="s">
        <v>41</v>
      </c>
      <c r="Z72" s="3" t="s">
        <v>70</v>
      </c>
      <c r="AA72" s="3" t="s">
        <v>43</v>
      </c>
      <c r="AB72" s="3" t="s">
        <v>40</v>
      </c>
      <c r="AC72" t="str">
        <f>IFERROR(VLOOKUP(C72,MigradosEfectivamente!B:B,1,FALSE),"No encontrado")</f>
        <v>No encontrado</v>
      </c>
    </row>
    <row r="73" spans="1:29" ht="45" x14ac:dyDescent="0.25">
      <c r="A73" s="3" t="s">
        <v>331</v>
      </c>
      <c r="B73" s="3" t="s">
        <v>332</v>
      </c>
      <c r="C73" s="3">
        <v>1090524521</v>
      </c>
      <c r="D73" s="3" t="s">
        <v>333</v>
      </c>
      <c r="E73" s="3">
        <v>3173506176</v>
      </c>
      <c r="F73" s="3" t="s">
        <v>334</v>
      </c>
      <c r="G73" s="3">
        <v>89</v>
      </c>
      <c r="H73" s="3" t="s">
        <v>136</v>
      </c>
      <c r="I73" s="3" t="s">
        <v>33</v>
      </c>
      <c r="J73" s="3" t="s">
        <v>34</v>
      </c>
      <c r="K73" s="3"/>
      <c r="L73" s="3"/>
      <c r="M73" s="3"/>
      <c r="N73" s="3" t="s">
        <v>35</v>
      </c>
      <c r="O73" s="3" t="s">
        <v>36</v>
      </c>
      <c r="P73" s="4">
        <v>45932.719375000001</v>
      </c>
      <c r="Q73" s="3">
        <v>7777777</v>
      </c>
      <c r="R73" s="3" t="s">
        <v>37</v>
      </c>
      <c r="S73" s="3"/>
      <c r="T73" s="3"/>
      <c r="U73" s="5" t="s">
        <v>38</v>
      </c>
      <c r="V73" s="3"/>
      <c r="W73" s="3" t="s">
        <v>39</v>
      </c>
      <c r="X73" s="3" t="s">
        <v>40</v>
      </c>
      <c r="Y73" s="3" t="s">
        <v>40</v>
      </c>
      <c r="Z73" s="3" t="s">
        <v>70</v>
      </c>
      <c r="AA73" s="3" t="s">
        <v>49</v>
      </c>
      <c r="AB73" s="3" t="s">
        <v>40</v>
      </c>
      <c r="AC73" t="str">
        <f>IFERROR(VLOOKUP(C73,MigradosEfectivamente!B:B,1,FALSE),"No encontrado")</f>
        <v>No encontrado</v>
      </c>
    </row>
    <row r="74" spans="1:29" ht="60" x14ac:dyDescent="0.25">
      <c r="A74" s="3" t="s">
        <v>335</v>
      </c>
      <c r="B74" s="3" t="s">
        <v>336</v>
      </c>
      <c r="C74" s="3">
        <v>1093592131</v>
      </c>
      <c r="D74" s="3" t="s">
        <v>337</v>
      </c>
      <c r="E74" s="3">
        <v>3182760786</v>
      </c>
      <c r="F74" s="3" t="s">
        <v>338</v>
      </c>
      <c r="G74" s="3">
        <v>99</v>
      </c>
      <c r="H74" s="3" t="s">
        <v>54</v>
      </c>
      <c r="I74" s="3" t="s">
        <v>82</v>
      </c>
      <c r="J74" s="3" t="s">
        <v>34</v>
      </c>
      <c r="K74" s="3"/>
      <c r="L74" s="3"/>
      <c r="M74" s="3"/>
      <c r="N74" s="3" t="s">
        <v>35</v>
      </c>
      <c r="O74" s="3" t="s">
        <v>83</v>
      </c>
      <c r="P74" s="4">
        <v>45932.587372685186</v>
      </c>
      <c r="Q74" s="3">
        <v>7777777</v>
      </c>
      <c r="R74" s="3" t="s">
        <v>37</v>
      </c>
      <c r="S74" s="3"/>
      <c r="T74" s="3"/>
      <c r="U74" s="5" t="s">
        <v>38</v>
      </c>
      <c r="V74" s="3"/>
      <c r="W74" s="3" t="s">
        <v>60</v>
      </c>
      <c r="X74" s="3" t="s">
        <v>40</v>
      </c>
      <c r="Y74" s="3" t="s">
        <v>41</v>
      </c>
      <c r="Z74" s="3" t="s">
        <v>42</v>
      </c>
      <c r="AA74" s="3" t="s">
        <v>49</v>
      </c>
      <c r="AB74" s="3" t="s">
        <v>40</v>
      </c>
      <c r="AC74" t="str">
        <f>IFERROR(VLOOKUP(C74,MigradosEfectivamente!B:B,1,FALSE),"No encontrado")</f>
        <v>No encontrado</v>
      </c>
    </row>
    <row r="75" spans="1:29" ht="60" x14ac:dyDescent="0.25">
      <c r="A75" s="3">
        <v>23517</v>
      </c>
      <c r="B75" s="3" t="s">
        <v>339</v>
      </c>
      <c r="C75" s="3">
        <v>1000505174</v>
      </c>
      <c r="D75" s="3" t="s">
        <v>340</v>
      </c>
      <c r="E75" s="3">
        <v>3016648508</v>
      </c>
      <c r="F75" s="3" t="s">
        <v>341</v>
      </c>
      <c r="G75" s="3">
        <v>99</v>
      </c>
      <c r="H75" s="3" t="s">
        <v>269</v>
      </c>
      <c r="I75" s="3" t="s">
        <v>82</v>
      </c>
      <c r="J75" s="3" t="s">
        <v>34</v>
      </c>
      <c r="K75" s="3"/>
      <c r="L75" s="3"/>
      <c r="M75" s="3"/>
      <c r="N75" s="3" t="s">
        <v>35</v>
      </c>
      <c r="O75" s="3" t="s">
        <v>83</v>
      </c>
      <c r="P75" s="4">
        <v>45932.583749999998</v>
      </c>
      <c r="Q75" s="3">
        <v>7777777</v>
      </c>
      <c r="R75" s="3" t="s">
        <v>37</v>
      </c>
      <c r="S75" s="3"/>
      <c r="T75" s="3"/>
      <c r="U75" s="5" t="s">
        <v>38</v>
      </c>
      <c r="V75" s="3"/>
      <c r="W75" s="3" t="s">
        <v>60</v>
      </c>
      <c r="X75" s="3" t="s">
        <v>40</v>
      </c>
      <c r="Y75" s="3" t="s">
        <v>41</v>
      </c>
      <c r="Z75" s="3" t="s">
        <v>42</v>
      </c>
      <c r="AA75" s="3" t="s">
        <v>43</v>
      </c>
      <c r="AB75" s="3" t="s">
        <v>40</v>
      </c>
      <c r="AC75" t="str">
        <f>IFERROR(VLOOKUP(C75,MigradosEfectivamente!B:B,1,FALSE),"No encontrado")</f>
        <v>No encontrado</v>
      </c>
    </row>
    <row r="76" spans="1:29" ht="60" x14ac:dyDescent="0.25">
      <c r="A76" s="3" t="s">
        <v>342</v>
      </c>
      <c r="B76" s="3" t="s">
        <v>343</v>
      </c>
      <c r="C76" s="3">
        <v>1116786909</v>
      </c>
      <c r="D76" s="3" t="s">
        <v>344</v>
      </c>
      <c r="E76" s="3">
        <v>3204236265</v>
      </c>
      <c r="F76" s="3" t="s">
        <v>345</v>
      </c>
      <c r="G76" s="3">
        <v>89</v>
      </c>
      <c r="H76" s="3" t="s">
        <v>54</v>
      </c>
      <c r="I76" s="3" t="s">
        <v>33</v>
      </c>
      <c r="J76" s="3" t="s">
        <v>34</v>
      </c>
      <c r="K76" s="3"/>
      <c r="L76" s="3"/>
      <c r="M76" s="3"/>
      <c r="N76" s="3" t="s">
        <v>35</v>
      </c>
      <c r="O76" s="3" t="s">
        <v>36</v>
      </c>
      <c r="P76" s="4">
        <v>45932.339166666665</v>
      </c>
      <c r="Q76" s="3">
        <v>7777777</v>
      </c>
      <c r="R76" s="3" t="s">
        <v>37</v>
      </c>
      <c r="S76" s="3"/>
      <c r="T76" s="3"/>
      <c r="U76" s="5" t="s">
        <v>38</v>
      </c>
      <c r="V76" s="3"/>
      <c r="W76" s="3" t="s">
        <v>60</v>
      </c>
      <c r="X76" s="3" t="s">
        <v>40</v>
      </c>
      <c r="Y76" s="3" t="s">
        <v>41</v>
      </c>
      <c r="Z76" s="3" t="s">
        <v>70</v>
      </c>
      <c r="AA76" s="3" t="s">
        <v>43</v>
      </c>
      <c r="AB76" s="3" t="s">
        <v>40</v>
      </c>
      <c r="AC76" t="str">
        <f>IFERROR(VLOOKUP(C76,MigradosEfectivamente!B:B,1,FALSE),"No encontrado")</f>
        <v>No encontrado</v>
      </c>
    </row>
    <row r="77" spans="1:29" ht="60" x14ac:dyDescent="0.25">
      <c r="A77" s="3" t="s">
        <v>346</v>
      </c>
      <c r="B77" s="3" t="s">
        <v>347</v>
      </c>
      <c r="C77" s="3">
        <v>1098680141</v>
      </c>
      <c r="D77" s="3" t="s">
        <v>169</v>
      </c>
      <c r="E77" s="3">
        <v>3106839247</v>
      </c>
      <c r="F77" s="3" t="s">
        <v>348</v>
      </c>
      <c r="G77" s="3">
        <v>89</v>
      </c>
      <c r="H77" s="3" t="s">
        <v>97</v>
      </c>
      <c r="I77" s="3" t="s">
        <v>33</v>
      </c>
      <c r="J77" s="3" t="s">
        <v>34</v>
      </c>
      <c r="K77" s="3"/>
      <c r="L77" s="3"/>
      <c r="M77" s="3"/>
      <c r="N77" s="3" t="s">
        <v>35</v>
      </c>
      <c r="O77" s="3" t="s">
        <v>36</v>
      </c>
      <c r="P77" s="4">
        <v>45932.33861111111</v>
      </c>
      <c r="Q77" s="3">
        <v>7777777</v>
      </c>
      <c r="R77" s="3" t="s">
        <v>37</v>
      </c>
      <c r="S77" s="3"/>
      <c r="T77" s="3"/>
      <c r="U77" s="5" t="s">
        <v>38</v>
      </c>
      <c r="V77" s="3"/>
      <c r="W77" s="3" t="s">
        <v>60</v>
      </c>
      <c r="X77" s="3" t="s">
        <v>40</v>
      </c>
      <c r="Y77" s="3" t="s">
        <v>41</v>
      </c>
      <c r="Z77" s="3" t="s">
        <v>70</v>
      </c>
      <c r="AA77" s="3" t="s">
        <v>43</v>
      </c>
      <c r="AB77" s="3" t="s">
        <v>40</v>
      </c>
      <c r="AC77" t="str">
        <f>IFERROR(VLOOKUP(C77,MigradosEfectivamente!B:B,1,FALSE),"No encontrado")</f>
        <v>No encontrado</v>
      </c>
    </row>
    <row r="78" spans="1:29" ht="60" x14ac:dyDescent="0.25">
      <c r="A78" s="3" t="s">
        <v>349</v>
      </c>
      <c r="B78" s="3" t="s">
        <v>350</v>
      </c>
      <c r="C78" s="3">
        <v>1193130276</v>
      </c>
      <c r="D78" s="3" t="s">
        <v>351</v>
      </c>
      <c r="E78" s="3">
        <v>3144540876</v>
      </c>
      <c r="F78" s="3" t="s">
        <v>352</v>
      </c>
      <c r="G78" s="3">
        <v>89</v>
      </c>
      <c r="H78" s="3" t="s">
        <v>136</v>
      </c>
      <c r="I78" s="3" t="s">
        <v>33</v>
      </c>
      <c r="J78" s="3" t="s">
        <v>34</v>
      </c>
      <c r="K78" s="3"/>
      <c r="L78" s="3"/>
      <c r="M78" s="3"/>
      <c r="N78" s="3" t="s">
        <v>35</v>
      </c>
      <c r="O78" s="3" t="s">
        <v>36</v>
      </c>
      <c r="P78" s="4">
        <v>45932.338460648149</v>
      </c>
      <c r="Q78" s="3">
        <v>7777777</v>
      </c>
      <c r="R78" s="3" t="s">
        <v>37</v>
      </c>
      <c r="S78" s="3"/>
      <c r="T78" s="3"/>
      <c r="U78" s="5" t="s">
        <v>38</v>
      </c>
      <c r="V78" s="3"/>
      <c r="W78" s="3" t="s">
        <v>60</v>
      </c>
      <c r="X78" s="3" t="s">
        <v>40</v>
      </c>
      <c r="Y78" s="3" t="s">
        <v>41</v>
      </c>
      <c r="Z78" s="3" t="s">
        <v>70</v>
      </c>
      <c r="AA78" s="3" t="s">
        <v>43</v>
      </c>
      <c r="AB78" s="3" t="s">
        <v>40</v>
      </c>
      <c r="AC78" t="str">
        <f>IFERROR(VLOOKUP(C78,MigradosEfectivamente!B:B,1,FALSE),"No encontrado")</f>
        <v>No encontrado</v>
      </c>
    </row>
    <row r="79" spans="1:29" ht="60" x14ac:dyDescent="0.25">
      <c r="A79" s="3" t="s">
        <v>353</v>
      </c>
      <c r="B79" s="3" t="s">
        <v>354</v>
      </c>
      <c r="C79" s="3">
        <v>1062957953</v>
      </c>
      <c r="D79" s="3" t="s">
        <v>355</v>
      </c>
      <c r="E79" s="3">
        <v>3028452180</v>
      </c>
      <c r="F79" s="3" t="s">
        <v>356</v>
      </c>
      <c r="G79" s="3">
        <v>89</v>
      </c>
      <c r="H79" s="3" t="s">
        <v>136</v>
      </c>
      <c r="I79" s="3" t="s">
        <v>33</v>
      </c>
      <c r="J79" s="3" t="s">
        <v>34</v>
      </c>
      <c r="K79" s="3"/>
      <c r="L79" s="3"/>
      <c r="M79" s="3"/>
      <c r="N79" s="3" t="s">
        <v>35</v>
      </c>
      <c r="O79" s="3" t="s">
        <v>36</v>
      </c>
      <c r="P79" s="4">
        <v>45932.338287037041</v>
      </c>
      <c r="Q79" s="3">
        <v>7777777</v>
      </c>
      <c r="R79" s="3" t="s">
        <v>37</v>
      </c>
      <c r="S79" s="3"/>
      <c r="T79" s="3"/>
      <c r="U79" s="5" t="s">
        <v>38</v>
      </c>
      <c r="V79" s="3"/>
      <c r="W79" s="3" t="s">
        <v>60</v>
      </c>
      <c r="X79" s="3" t="s">
        <v>40</v>
      </c>
      <c r="Y79" s="3" t="s">
        <v>41</v>
      </c>
      <c r="Z79" s="3" t="s">
        <v>70</v>
      </c>
      <c r="AA79" s="3" t="s">
        <v>49</v>
      </c>
      <c r="AB79" s="3" t="s">
        <v>40</v>
      </c>
      <c r="AC79" t="str">
        <f>IFERROR(VLOOKUP(C79,MigradosEfectivamente!B:B,1,FALSE),"No encontrado")</f>
        <v>No encontrado</v>
      </c>
    </row>
    <row r="80" spans="1:29" ht="60" x14ac:dyDescent="0.25">
      <c r="A80" s="3" t="s">
        <v>357</v>
      </c>
      <c r="B80" s="3" t="s">
        <v>358</v>
      </c>
      <c r="C80" s="3">
        <v>1007900671</v>
      </c>
      <c r="D80" s="3" t="s">
        <v>359</v>
      </c>
      <c r="E80" s="3">
        <v>3027393055</v>
      </c>
      <c r="F80" s="3" t="s">
        <v>360</v>
      </c>
      <c r="G80" s="3">
        <v>89</v>
      </c>
      <c r="H80" s="3" t="s">
        <v>97</v>
      </c>
      <c r="I80" s="3" t="s">
        <v>33</v>
      </c>
      <c r="J80" s="3" t="s">
        <v>34</v>
      </c>
      <c r="K80" s="3"/>
      <c r="L80" s="3"/>
      <c r="M80" s="3"/>
      <c r="N80" s="3" t="s">
        <v>35</v>
      </c>
      <c r="O80" s="3" t="s">
        <v>36</v>
      </c>
      <c r="P80" s="4">
        <v>45932.337731481479</v>
      </c>
      <c r="Q80" s="3">
        <v>7777777</v>
      </c>
      <c r="R80" s="3" t="s">
        <v>37</v>
      </c>
      <c r="S80" s="3"/>
      <c r="T80" s="3"/>
      <c r="U80" s="5" t="s">
        <v>38</v>
      </c>
      <c r="V80" s="3"/>
      <c r="W80" s="3" t="s">
        <v>60</v>
      </c>
      <c r="X80" s="3" t="s">
        <v>40</v>
      </c>
      <c r="Y80" s="3" t="s">
        <v>41</v>
      </c>
      <c r="Z80" s="3" t="s">
        <v>70</v>
      </c>
      <c r="AA80" s="3" t="s">
        <v>43</v>
      </c>
      <c r="AB80" s="3" t="s">
        <v>40</v>
      </c>
      <c r="AC80" t="str">
        <f>IFERROR(VLOOKUP(C80,MigradosEfectivamente!B:B,1,FALSE),"No encontrado")</f>
        <v>No encontrado</v>
      </c>
    </row>
    <row r="81" spans="1:29" ht="60" x14ac:dyDescent="0.25">
      <c r="A81" s="3" t="s">
        <v>361</v>
      </c>
      <c r="B81" s="3" t="s">
        <v>362</v>
      </c>
      <c r="C81" s="3">
        <v>1022342783</v>
      </c>
      <c r="D81" s="3" t="s">
        <v>363</v>
      </c>
      <c r="E81" s="3">
        <v>3023919516</v>
      </c>
      <c r="F81" s="3" t="s">
        <v>364</v>
      </c>
      <c r="G81" s="3">
        <v>89</v>
      </c>
      <c r="H81" s="3" t="s">
        <v>97</v>
      </c>
      <c r="I81" s="3" t="s">
        <v>33</v>
      </c>
      <c r="J81" s="3" t="s">
        <v>34</v>
      </c>
      <c r="K81" s="3"/>
      <c r="L81" s="3"/>
      <c r="M81" s="3"/>
      <c r="N81" s="3" t="s">
        <v>35</v>
      </c>
      <c r="O81" s="3" t="s">
        <v>36</v>
      </c>
      <c r="P81" s="4">
        <v>45932.337673611109</v>
      </c>
      <c r="Q81" s="3">
        <v>7777777</v>
      </c>
      <c r="R81" s="3" t="s">
        <v>37</v>
      </c>
      <c r="S81" s="3"/>
      <c r="T81" s="3"/>
      <c r="U81" s="5" t="s">
        <v>38</v>
      </c>
      <c r="V81" s="3"/>
      <c r="W81" s="3" t="s">
        <v>60</v>
      </c>
      <c r="X81" s="3" t="s">
        <v>40</v>
      </c>
      <c r="Y81" s="3" t="s">
        <v>41</v>
      </c>
      <c r="Z81" s="3" t="s">
        <v>70</v>
      </c>
      <c r="AA81" s="3" t="s">
        <v>43</v>
      </c>
      <c r="AB81" s="3" t="s">
        <v>40</v>
      </c>
      <c r="AC81" t="str">
        <f>IFERROR(VLOOKUP(C81,MigradosEfectivamente!B:B,1,FALSE),"No encontrado")</f>
        <v>No encontrado</v>
      </c>
    </row>
    <row r="82" spans="1:29" ht="60" x14ac:dyDescent="0.25">
      <c r="A82" s="3" t="s">
        <v>365</v>
      </c>
      <c r="B82" s="3" t="s">
        <v>366</v>
      </c>
      <c r="C82" s="3">
        <v>1216966032</v>
      </c>
      <c r="D82" s="3" t="s">
        <v>367</v>
      </c>
      <c r="E82" s="3">
        <v>3184363110</v>
      </c>
      <c r="F82" s="3" t="s">
        <v>368</v>
      </c>
      <c r="G82" s="3">
        <v>99</v>
      </c>
      <c r="H82" s="3" t="s">
        <v>180</v>
      </c>
      <c r="I82" s="3" t="s">
        <v>82</v>
      </c>
      <c r="J82" s="3" t="s">
        <v>34</v>
      </c>
      <c r="K82" s="3"/>
      <c r="L82" s="3"/>
      <c r="M82" s="3"/>
      <c r="N82" s="3" t="s">
        <v>35</v>
      </c>
      <c r="O82" s="3" t="s">
        <v>83</v>
      </c>
      <c r="P82" s="4">
        <v>45932.335613425923</v>
      </c>
      <c r="Q82" s="3">
        <v>7777777</v>
      </c>
      <c r="R82" s="3" t="s">
        <v>37</v>
      </c>
      <c r="S82" s="3"/>
      <c r="T82" s="3"/>
      <c r="U82" s="5" t="s">
        <v>38</v>
      </c>
      <c r="V82" s="3"/>
      <c r="W82" s="3" t="s">
        <v>60</v>
      </c>
      <c r="X82" s="3" t="s">
        <v>40</v>
      </c>
      <c r="Y82" s="3" t="s">
        <v>41</v>
      </c>
      <c r="Z82" s="3" t="s">
        <v>42</v>
      </c>
      <c r="AA82" s="3" t="s">
        <v>43</v>
      </c>
      <c r="AB82" s="3" t="s">
        <v>40</v>
      </c>
      <c r="AC82" t="str">
        <f>IFERROR(VLOOKUP(C82,MigradosEfectivamente!B:B,1,FALSE),"No encontrado")</f>
        <v>No encontrado</v>
      </c>
    </row>
    <row r="83" spans="1:29" ht="60" x14ac:dyDescent="0.25">
      <c r="A83" s="3" t="s">
        <v>369</v>
      </c>
      <c r="B83" s="3" t="s">
        <v>370</v>
      </c>
      <c r="C83" s="3">
        <v>1093745009</v>
      </c>
      <c r="D83" s="3" t="s">
        <v>371</v>
      </c>
      <c r="E83" s="3">
        <v>3107559097</v>
      </c>
      <c r="F83" s="3" t="s">
        <v>372</v>
      </c>
      <c r="G83" s="3">
        <v>89</v>
      </c>
      <c r="H83" s="3" t="s">
        <v>136</v>
      </c>
      <c r="I83" s="3" t="s">
        <v>82</v>
      </c>
      <c r="J83" s="3" t="s">
        <v>34</v>
      </c>
      <c r="K83" s="3"/>
      <c r="L83" s="3"/>
      <c r="M83" s="3"/>
      <c r="N83" s="3" t="s">
        <v>35</v>
      </c>
      <c r="O83" s="3" t="s">
        <v>36</v>
      </c>
      <c r="P83" s="4">
        <v>45932.33457175926</v>
      </c>
      <c r="Q83" s="3">
        <v>7777777</v>
      </c>
      <c r="R83" s="3" t="s">
        <v>37</v>
      </c>
      <c r="S83" s="3"/>
      <c r="T83" s="3"/>
      <c r="U83" s="5" t="s">
        <v>38</v>
      </c>
      <c r="V83" s="3"/>
      <c r="W83" s="3" t="s">
        <v>60</v>
      </c>
      <c r="X83" s="3" t="s">
        <v>40</v>
      </c>
      <c r="Y83" s="3" t="s">
        <v>41</v>
      </c>
      <c r="Z83" s="3" t="s">
        <v>42</v>
      </c>
      <c r="AA83" s="3" t="s">
        <v>43</v>
      </c>
      <c r="AB83" s="3" t="s">
        <v>40</v>
      </c>
      <c r="AC83" t="str">
        <f>IFERROR(VLOOKUP(C83,MigradosEfectivamente!B:B,1,FALSE),"No encontrado")</f>
        <v>No encontrado</v>
      </c>
    </row>
    <row r="84" spans="1:29" ht="60" x14ac:dyDescent="0.25">
      <c r="A84" s="3" t="s">
        <v>373</v>
      </c>
      <c r="B84" s="3" t="s">
        <v>374</v>
      </c>
      <c r="C84" s="3">
        <v>1098634365</v>
      </c>
      <c r="D84" s="3" t="s">
        <v>375</v>
      </c>
      <c r="E84" s="3">
        <v>3144391712</v>
      </c>
      <c r="F84" s="3" t="s">
        <v>376</v>
      </c>
      <c r="G84" s="3">
        <v>89</v>
      </c>
      <c r="H84" s="3" t="s">
        <v>69</v>
      </c>
      <c r="I84" s="3" t="s">
        <v>82</v>
      </c>
      <c r="J84" s="3" t="s">
        <v>34</v>
      </c>
      <c r="K84" s="3"/>
      <c r="L84" s="3"/>
      <c r="M84" s="3"/>
      <c r="N84" s="3" t="s">
        <v>35</v>
      </c>
      <c r="O84" s="3" t="s">
        <v>36</v>
      </c>
      <c r="P84" s="4">
        <v>45932.333935185183</v>
      </c>
      <c r="Q84" s="3">
        <v>7777777</v>
      </c>
      <c r="R84" s="3" t="s">
        <v>37</v>
      </c>
      <c r="S84" s="3"/>
      <c r="T84" s="3"/>
      <c r="U84" s="5" t="s">
        <v>38</v>
      </c>
      <c r="V84" s="3"/>
      <c r="W84" s="3" t="s">
        <v>60</v>
      </c>
      <c r="X84" s="3" t="s">
        <v>41</v>
      </c>
      <c r="Y84" s="3" t="s">
        <v>41</v>
      </c>
      <c r="Z84" s="3" t="s">
        <v>42</v>
      </c>
      <c r="AA84" s="3" t="s">
        <v>43</v>
      </c>
      <c r="AB84" s="3" t="s">
        <v>40</v>
      </c>
      <c r="AC84" t="str">
        <f>IFERROR(VLOOKUP(C84,MigradosEfectivamente!B:B,1,FALSE),"No encontrado")</f>
        <v>No encontrado</v>
      </c>
    </row>
    <row r="85" spans="1:29" ht="60" x14ac:dyDescent="0.25">
      <c r="A85" s="3" t="s">
        <v>377</v>
      </c>
      <c r="B85" s="3" t="s">
        <v>378</v>
      </c>
      <c r="C85" s="3">
        <v>1098825032</v>
      </c>
      <c r="D85" s="3" t="s">
        <v>379</v>
      </c>
      <c r="E85" s="3">
        <v>3102189351</v>
      </c>
      <c r="F85" s="3" t="s">
        <v>380</v>
      </c>
      <c r="G85" s="3">
        <v>89</v>
      </c>
      <c r="H85" s="3" t="s">
        <v>110</v>
      </c>
      <c r="I85" s="3" t="s">
        <v>82</v>
      </c>
      <c r="J85" s="3" t="s">
        <v>34</v>
      </c>
      <c r="K85" s="3"/>
      <c r="L85" s="3"/>
      <c r="M85" s="3"/>
      <c r="N85" s="3" t="s">
        <v>35</v>
      </c>
      <c r="O85" s="3" t="s">
        <v>36</v>
      </c>
      <c r="P85" s="4">
        <v>45932.333541666667</v>
      </c>
      <c r="Q85" s="3">
        <v>7777777</v>
      </c>
      <c r="R85" s="3" t="s">
        <v>37</v>
      </c>
      <c r="S85" s="3"/>
      <c r="T85" s="3"/>
      <c r="U85" s="5" t="s">
        <v>38</v>
      </c>
      <c r="V85" s="3"/>
      <c r="W85" s="3" t="s">
        <v>60</v>
      </c>
      <c r="X85" s="3" t="s">
        <v>41</v>
      </c>
      <c r="Y85" s="3" t="s">
        <v>41</v>
      </c>
      <c r="Z85" s="3" t="s">
        <v>42</v>
      </c>
      <c r="AA85" s="3" t="s">
        <v>49</v>
      </c>
      <c r="AB85" s="3" t="s">
        <v>40</v>
      </c>
      <c r="AC85" t="str">
        <f>IFERROR(VLOOKUP(C85,MigradosEfectivamente!B:B,1,FALSE),"No encontrado")</f>
        <v>No encontrado</v>
      </c>
    </row>
    <row r="86" spans="1:29" ht="45" x14ac:dyDescent="0.25">
      <c r="A86" s="3" t="s">
        <v>381</v>
      </c>
      <c r="B86" s="3" t="s">
        <v>382</v>
      </c>
      <c r="C86" s="3">
        <v>1090437770</v>
      </c>
      <c r="D86" s="3" t="s">
        <v>288</v>
      </c>
      <c r="E86" s="3" t="s">
        <v>383</v>
      </c>
      <c r="F86" s="3" t="s">
        <v>234</v>
      </c>
      <c r="G86" s="3">
        <v>349</v>
      </c>
      <c r="H86" s="3" t="s">
        <v>69</v>
      </c>
      <c r="I86" s="3" t="s">
        <v>137</v>
      </c>
      <c r="J86" s="3" t="s">
        <v>34</v>
      </c>
      <c r="K86" s="3"/>
      <c r="L86" s="3"/>
      <c r="M86" s="3"/>
      <c r="N86" s="3" t="s">
        <v>35</v>
      </c>
      <c r="O86" s="3" t="s">
        <v>138</v>
      </c>
      <c r="P86" s="4">
        <v>45932.027071759258</v>
      </c>
      <c r="Q86" s="3">
        <v>7777777</v>
      </c>
      <c r="R86" s="3" t="s">
        <v>37</v>
      </c>
      <c r="S86" s="3"/>
      <c r="T86" s="3"/>
      <c r="U86" s="5" t="s">
        <v>38</v>
      </c>
      <c r="V86" s="3"/>
      <c r="W86" s="3" t="s">
        <v>39</v>
      </c>
      <c r="X86" s="3" t="s">
        <v>41</v>
      </c>
      <c r="Y86" s="3" t="s">
        <v>41</v>
      </c>
      <c r="Z86" s="3" t="s">
        <v>70</v>
      </c>
      <c r="AA86" s="3" t="s">
        <v>43</v>
      </c>
      <c r="AB86" s="3" t="s">
        <v>41</v>
      </c>
      <c r="AC86" t="str">
        <f>IFERROR(VLOOKUP(C86,MigradosEfectivamente!B:B,1,FALSE),"No encontrado")</f>
        <v>No encontrado</v>
      </c>
    </row>
    <row r="87" spans="1:29" ht="60" x14ac:dyDescent="0.25">
      <c r="A87" s="3" t="s">
        <v>384</v>
      </c>
      <c r="B87" s="3" t="s">
        <v>385</v>
      </c>
      <c r="C87" s="3">
        <v>1093795269</v>
      </c>
      <c r="D87" s="3" t="s">
        <v>386</v>
      </c>
      <c r="E87" s="3">
        <v>3225130073</v>
      </c>
      <c r="F87" s="3" t="s">
        <v>387</v>
      </c>
      <c r="G87" s="3">
        <v>89</v>
      </c>
      <c r="H87" s="3" t="s">
        <v>69</v>
      </c>
      <c r="I87" s="3" t="s">
        <v>33</v>
      </c>
      <c r="J87" s="3" t="s">
        <v>34</v>
      </c>
      <c r="K87" s="3"/>
      <c r="L87" s="3"/>
      <c r="M87" s="3"/>
      <c r="N87" s="3" t="s">
        <v>35</v>
      </c>
      <c r="O87" s="3" t="s">
        <v>36</v>
      </c>
      <c r="P87" s="4">
        <v>45931.876064814816</v>
      </c>
      <c r="Q87" s="3">
        <v>7777777</v>
      </c>
      <c r="R87" s="3" t="s">
        <v>37</v>
      </c>
      <c r="S87" s="3"/>
      <c r="T87" s="3"/>
      <c r="U87" s="5" t="s">
        <v>38</v>
      </c>
      <c r="V87" s="3"/>
      <c r="W87" s="3" t="s">
        <v>60</v>
      </c>
      <c r="X87" s="3" t="s">
        <v>41</v>
      </c>
      <c r="Y87" s="3" t="s">
        <v>41</v>
      </c>
      <c r="Z87" s="3" t="s">
        <v>70</v>
      </c>
      <c r="AA87" s="3" t="s">
        <v>49</v>
      </c>
      <c r="AB87" s="3" t="s">
        <v>40</v>
      </c>
      <c r="AC87" t="str">
        <f>IFERROR(VLOOKUP(C87,MigradosEfectivamente!B:B,1,FALSE),"No encontrado")</f>
        <v>No encontrado</v>
      </c>
    </row>
    <row r="88" spans="1:29" ht="60" x14ac:dyDescent="0.25">
      <c r="A88" s="3" t="s">
        <v>388</v>
      </c>
      <c r="B88" s="3" t="s">
        <v>389</v>
      </c>
      <c r="C88" s="3">
        <v>1117350603</v>
      </c>
      <c r="D88" s="3" t="s">
        <v>390</v>
      </c>
      <c r="E88" s="3">
        <v>3113924522</v>
      </c>
      <c r="F88" s="3" t="s">
        <v>391</v>
      </c>
      <c r="G88" s="3">
        <v>89</v>
      </c>
      <c r="H88" s="3" t="s">
        <v>69</v>
      </c>
      <c r="I88" s="3" t="s">
        <v>33</v>
      </c>
      <c r="J88" s="3" t="s">
        <v>34</v>
      </c>
      <c r="K88" s="3"/>
      <c r="L88" s="3"/>
      <c r="M88" s="3"/>
      <c r="N88" s="3" t="s">
        <v>35</v>
      </c>
      <c r="O88" s="3" t="s">
        <v>36</v>
      </c>
      <c r="P88" s="4">
        <v>45931.583599537036</v>
      </c>
      <c r="Q88" s="3">
        <v>7777777</v>
      </c>
      <c r="R88" s="3" t="s">
        <v>37</v>
      </c>
      <c r="S88" s="3"/>
      <c r="T88" s="3"/>
      <c r="U88" s="5" t="s">
        <v>38</v>
      </c>
      <c r="V88" s="3"/>
      <c r="W88" s="3" t="s">
        <v>60</v>
      </c>
      <c r="X88" s="3" t="s">
        <v>41</v>
      </c>
      <c r="Y88" s="3" t="s">
        <v>41</v>
      </c>
      <c r="Z88" s="3" t="s">
        <v>42</v>
      </c>
      <c r="AA88" s="3" t="s">
        <v>49</v>
      </c>
      <c r="AB88" s="3" t="s">
        <v>40</v>
      </c>
      <c r="AC88" t="str">
        <f>IFERROR(VLOOKUP(C88,MigradosEfectivamente!B:B,1,FALSE),"No encontrado")</f>
        <v>No encontrado</v>
      </c>
    </row>
    <row r="89" spans="1:29" ht="45" x14ac:dyDescent="0.25">
      <c r="A89" s="3" t="s">
        <v>392</v>
      </c>
      <c r="B89" s="3" t="s">
        <v>393</v>
      </c>
      <c r="C89" s="3">
        <v>1098752257</v>
      </c>
      <c r="D89" s="3" t="s">
        <v>90</v>
      </c>
      <c r="E89" s="3">
        <v>3232068023</v>
      </c>
      <c r="F89" s="3" t="s">
        <v>394</v>
      </c>
      <c r="G89" s="3">
        <v>89</v>
      </c>
      <c r="H89" s="3" t="s">
        <v>32</v>
      </c>
      <c r="I89" s="3" t="s">
        <v>33</v>
      </c>
      <c r="J89" s="3" t="s">
        <v>34</v>
      </c>
      <c r="K89" s="3"/>
      <c r="L89" s="3"/>
      <c r="M89" s="3"/>
      <c r="N89" s="3" t="s">
        <v>35</v>
      </c>
      <c r="O89" s="3" t="s">
        <v>36</v>
      </c>
      <c r="P89" s="4">
        <v>45931.513703703706</v>
      </c>
      <c r="Q89" s="3">
        <v>7777777</v>
      </c>
      <c r="R89" s="3" t="s">
        <v>37</v>
      </c>
      <c r="S89" s="3"/>
      <c r="T89" s="3"/>
      <c r="U89" s="5" t="s">
        <v>38</v>
      </c>
      <c r="V89" s="3"/>
      <c r="W89" s="3" t="s">
        <v>39</v>
      </c>
      <c r="X89" s="3" t="s">
        <v>40</v>
      </c>
      <c r="Y89" s="3" t="s">
        <v>41</v>
      </c>
      <c r="Z89" s="3" t="s">
        <v>42</v>
      </c>
      <c r="AA89" s="3" t="s">
        <v>49</v>
      </c>
      <c r="AB89" s="3" t="s">
        <v>40</v>
      </c>
      <c r="AC89" t="str">
        <f>IFERROR(VLOOKUP(C89,MigradosEfectivamente!B:B,1,FALSE),"No encontrado")</f>
        <v>No encontrado</v>
      </c>
    </row>
    <row r="90" spans="1:29" ht="45" x14ac:dyDescent="0.25">
      <c r="A90" s="3" t="s">
        <v>395</v>
      </c>
      <c r="B90" s="3" t="s">
        <v>396</v>
      </c>
      <c r="C90" s="3">
        <v>1095838847</v>
      </c>
      <c r="D90" s="3" t="s">
        <v>57</v>
      </c>
      <c r="E90" s="3">
        <v>3143967220</v>
      </c>
      <c r="F90" s="3" t="s">
        <v>397</v>
      </c>
      <c r="G90" s="3">
        <v>89</v>
      </c>
      <c r="H90" s="3" t="s">
        <v>59</v>
      </c>
      <c r="I90" s="3" t="s">
        <v>33</v>
      </c>
      <c r="J90" s="3" t="s">
        <v>34</v>
      </c>
      <c r="K90" s="3"/>
      <c r="L90" s="3"/>
      <c r="M90" s="3"/>
      <c r="N90" s="3" t="s">
        <v>35</v>
      </c>
      <c r="O90" s="3" t="s">
        <v>36</v>
      </c>
      <c r="P90" s="4">
        <v>45931.507581018515</v>
      </c>
      <c r="Q90" s="3">
        <v>7777777</v>
      </c>
      <c r="R90" s="3" t="s">
        <v>37</v>
      </c>
      <c r="S90" s="3"/>
      <c r="T90" s="3"/>
      <c r="U90" s="5" t="s">
        <v>38</v>
      </c>
      <c r="V90" s="3"/>
      <c r="W90" s="3" t="s">
        <v>39</v>
      </c>
      <c r="X90" s="3" t="s">
        <v>41</v>
      </c>
      <c r="Y90" s="3" t="s">
        <v>41</v>
      </c>
      <c r="Z90" s="3" t="s">
        <v>42</v>
      </c>
      <c r="AA90" s="3" t="s">
        <v>49</v>
      </c>
      <c r="AB90" s="3" t="s">
        <v>40</v>
      </c>
      <c r="AC90" t="str">
        <f>IFERROR(VLOOKUP(C90,MigradosEfectivamente!B:B,1,FALSE),"No encontrado")</f>
        <v>No encontrado</v>
      </c>
    </row>
    <row r="91" spans="1:29" ht="60" x14ac:dyDescent="0.25">
      <c r="A91" s="3" t="s">
        <v>398</v>
      </c>
      <c r="B91" s="3" t="s">
        <v>399</v>
      </c>
      <c r="C91" s="3">
        <v>1098821319</v>
      </c>
      <c r="D91" s="3" t="s">
        <v>48</v>
      </c>
      <c r="E91" s="3">
        <v>3138053790</v>
      </c>
      <c r="F91" s="3" t="s">
        <v>400</v>
      </c>
      <c r="G91" s="3">
        <v>89</v>
      </c>
      <c r="H91" s="3" t="s">
        <v>48</v>
      </c>
      <c r="I91" s="3" t="s">
        <v>82</v>
      </c>
      <c r="J91" s="3" t="s">
        <v>34</v>
      </c>
      <c r="K91" s="3"/>
      <c r="L91" s="3"/>
      <c r="M91" s="3"/>
      <c r="N91" s="3" t="s">
        <v>35</v>
      </c>
      <c r="O91" s="3" t="s">
        <v>36</v>
      </c>
      <c r="P91" s="4">
        <v>45931.339502314811</v>
      </c>
      <c r="Q91" s="3">
        <v>7777777</v>
      </c>
      <c r="R91" s="3" t="s">
        <v>37</v>
      </c>
      <c r="S91" s="3"/>
      <c r="T91" s="3"/>
      <c r="U91" s="5" t="s">
        <v>38</v>
      </c>
      <c r="V91" s="3"/>
      <c r="W91" s="3" t="s">
        <v>60</v>
      </c>
      <c r="X91" s="3" t="s">
        <v>41</v>
      </c>
      <c r="Y91" s="3" t="s">
        <v>41</v>
      </c>
      <c r="Z91" s="3" t="s">
        <v>42</v>
      </c>
      <c r="AA91" s="3" t="s">
        <v>49</v>
      </c>
      <c r="AB91" s="3" t="s">
        <v>40</v>
      </c>
      <c r="AC91" t="str">
        <f>IFERROR(VLOOKUP(C91,MigradosEfectivamente!B:B,1,FALSE),"No encontrado")</f>
        <v>No encontrado</v>
      </c>
    </row>
    <row r="92" spans="1:29" ht="60" x14ac:dyDescent="0.25">
      <c r="A92" s="3" t="s">
        <v>401</v>
      </c>
      <c r="B92" s="3" t="s">
        <v>402</v>
      </c>
      <c r="C92" s="3">
        <v>1003965365</v>
      </c>
      <c r="D92" s="3" t="s">
        <v>403</v>
      </c>
      <c r="E92" s="3">
        <v>3105323366</v>
      </c>
      <c r="F92" s="3" t="s">
        <v>404</v>
      </c>
      <c r="G92" s="3">
        <v>89</v>
      </c>
      <c r="H92" s="3" t="s">
        <v>69</v>
      </c>
      <c r="I92" s="3" t="s">
        <v>33</v>
      </c>
      <c r="J92" s="3" t="s">
        <v>34</v>
      </c>
      <c r="K92" s="3"/>
      <c r="L92" s="3"/>
      <c r="M92" s="3"/>
      <c r="N92" s="3" t="s">
        <v>35</v>
      </c>
      <c r="O92" s="3" t="s">
        <v>36</v>
      </c>
      <c r="P92" s="4">
        <v>45931.33666666667</v>
      </c>
      <c r="Q92" s="3">
        <v>7777777</v>
      </c>
      <c r="R92" s="3" t="s">
        <v>37</v>
      </c>
      <c r="S92" s="3"/>
      <c r="T92" s="3"/>
      <c r="U92" s="5" t="s">
        <v>38</v>
      </c>
      <c r="V92" s="3"/>
      <c r="W92" s="3" t="s">
        <v>60</v>
      </c>
      <c r="X92" s="3" t="s">
        <v>41</v>
      </c>
      <c r="Y92" s="3" t="s">
        <v>41</v>
      </c>
      <c r="Z92" s="3" t="s">
        <v>70</v>
      </c>
      <c r="AA92" s="3" t="s">
        <v>49</v>
      </c>
      <c r="AB92" s="3" t="s">
        <v>40</v>
      </c>
      <c r="AC92" t="str">
        <f>IFERROR(VLOOKUP(C92,MigradosEfectivamente!B:B,1,FALSE),"No encontrado")</f>
        <v>No encontrado</v>
      </c>
    </row>
    <row r="93" spans="1:29" ht="60" x14ac:dyDescent="0.25">
      <c r="A93" s="3" t="s">
        <v>405</v>
      </c>
      <c r="B93" s="3" t="s">
        <v>406</v>
      </c>
      <c r="C93" s="3">
        <v>1098823605</v>
      </c>
      <c r="D93" s="3" t="s">
        <v>122</v>
      </c>
      <c r="E93" s="3" t="s">
        <v>407</v>
      </c>
      <c r="F93" s="3" t="s">
        <v>408</v>
      </c>
      <c r="G93" s="3">
        <v>89</v>
      </c>
      <c r="H93" s="3" t="s">
        <v>110</v>
      </c>
      <c r="I93" s="3" t="s">
        <v>119</v>
      </c>
      <c r="J93" s="3" t="s">
        <v>34</v>
      </c>
      <c r="K93" s="3"/>
      <c r="L93" s="3"/>
      <c r="M93" s="3"/>
      <c r="N93" s="3" t="s">
        <v>35</v>
      </c>
      <c r="O93" s="3" t="s">
        <v>36</v>
      </c>
      <c r="P93" s="4">
        <v>45931.336157407408</v>
      </c>
      <c r="Q93" s="3">
        <v>7777777</v>
      </c>
      <c r="R93" s="3" t="s">
        <v>37</v>
      </c>
      <c r="S93" s="3"/>
      <c r="T93" s="3"/>
      <c r="U93" s="5" t="s">
        <v>38</v>
      </c>
      <c r="V93" s="3"/>
      <c r="W93" s="3" t="s">
        <v>60</v>
      </c>
      <c r="X93" s="3" t="s">
        <v>40</v>
      </c>
      <c r="Y93" s="3" t="s">
        <v>41</v>
      </c>
      <c r="Z93" s="3" t="s">
        <v>42</v>
      </c>
      <c r="AA93" s="3" t="s">
        <v>49</v>
      </c>
      <c r="AB93" s="3" t="s">
        <v>40</v>
      </c>
      <c r="AC93" t="str">
        <f>IFERROR(VLOOKUP(C93,MigradosEfectivamente!B:B,1,FALSE),"No encontrado")</f>
        <v>No encontrado</v>
      </c>
    </row>
    <row r="94" spans="1:29" ht="60" x14ac:dyDescent="0.25">
      <c r="A94" s="3" t="s">
        <v>409</v>
      </c>
      <c r="B94" s="3" t="s">
        <v>410</v>
      </c>
      <c r="C94" s="3">
        <v>1232888941</v>
      </c>
      <c r="D94" s="3" t="s">
        <v>411</v>
      </c>
      <c r="E94" s="3" t="s">
        <v>412</v>
      </c>
      <c r="F94" s="3" t="s">
        <v>413</v>
      </c>
      <c r="G94" s="3">
        <v>89</v>
      </c>
      <c r="H94" s="3" t="s">
        <v>97</v>
      </c>
      <c r="I94" s="3" t="s">
        <v>33</v>
      </c>
      <c r="J94" s="3" t="s">
        <v>34</v>
      </c>
      <c r="K94" s="3"/>
      <c r="L94" s="3"/>
      <c r="M94" s="3"/>
      <c r="N94" s="3" t="s">
        <v>35</v>
      </c>
      <c r="O94" s="3" t="s">
        <v>36</v>
      </c>
      <c r="P94" s="4">
        <v>45931.335034722222</v>
      </c>
      <c r="Q94" s="3">
        <v>7777777</v>
      </c>
      <c r="R94" s="3" t="s">
        <v>37</v>
      </c>
      <c r="S94" s="3"/>
      <c r="T94" s="3"/>
      <c r="U94" s="5" t="s">
        <v>38</v>
      </c>
      <c r="V94" s="3"/>
      <c r="W94" s="3" t="s">
        <v>60</v>
      </c>
      <c r="X94" s="3" t="s">
        <v>41</v>
      </c>
      <c r="Y94" s="3" t="s">
        <v>41</v>
      </c>
      <c r="Z94" s="3" t="s">
        <v>70</v>
      </c>
      <c r="AA94" s="3" t="s">
        <v>49</v>
      </c>
      <c r="AB94" s="3" t="s">
        <v>40</v>
      </c>
      <c r="AC94" t="str">
        <f>IFERROR(VLOOKUP(C94,MigradosEfectivamente!B:B,1,FALSE),"No encontrado")</f>
        <v>No encontrado</v>
      </c>
    </row>
    <row r="95" spans="1:29" ht="60" x14ac:dyDescent="0.25">
      <c r="A95" s="3" t="s">
        <v>414</v>
      </c>
      <c r="B95" s="3" t="s">
        <v>415</v>
      </c>
      <c r="C95" s="3">
        <v>1002157468</v>
      </c>
      <c r="D95" s="3" t="s">
        <v>416</v>
      </c>
      <c r="E95" s="3">
        <v>3148374234</v>
      </c>
      <c r="F95" s="3" t="s">
        <v>417</v>
      </c>
      <c r="G95" s="3">
        <v>89</v>
      </c>
      <c r="H95" s="3" t="s">
        <v>54</v>
      </c>
      <c r="I95" s="3" t="s">
        <v>119</v>
      </c>
      <c r="J95" s="3" t="s">
        <v>34</v>
      </c>
      <c r="K95" s="3"/>
      <c r="L95" s="3"/>
      <c r="M95" s="3"/>
      <c r="N95" s="3" t="s">
        <v>35</v>
      </c>
      <c r="O95" s="3" t="s">
        <v>36</v>
      </c>
      <c r="P95" s="4">
        <v>45931.334340277775</v>
      </c>
      <c r="Q95" s="3">
        <v>7777777</v>
      </c>
      <c r="R95" s="3" t="s">
        <v>37</v>
      </c>
      <c r="S95" s="3"/>
      <c r="T95" s="3"/>
      <c r="U95" s="5" t="s">
        <v>38</v>
      </c>
      <c r="V95" s="3"/>
      <c r="W95" s="3" t="s">
        <v>60</v>
      </c>
      <c r="X95" s="3" t="s">
        <v>40</v>
      </c>
      <c r="Y95" s="3" t="s">
        <v>41</v>
      </c>
      <c r="Z95" s="3" t="s">
        <v>42</v>
      </c>
      <c r="AA95" s="3" t="s">
        <v>49</v>
      </c>
      <c r="AB95" s="3" t="s">
        <v>40</v>
      </c>
      <c r="AC95" t="str">
        <f>IFERROR(VLOOKUP(C95,MigradosEfectivamente!B:B,1,FALSE),"No encontrado")</f>
        <v>No encontrado</v>
      </c>
    </row>
    <row r="96" spans="1:29" ht="60" x14ac:dyDescent="0.25">
      <c r="A96" s="3" t="s">
        <v>418</v>
      </c>
      <c r="B96" s="3" t="s">
        <v>419</v>
      </c>
      <c r="C96" s="3">
        <v>1004926021</v>
      </c>
      <c r="D96" s="3" t="s">
        <v>136</v>
      </c>
      <c r="E96" s="3">
        <v>3244181548</v>
      </c>
      <c r="F96" s="3" t="s">
        <v>420</v>
      </c>
      <c r="G96" s="3">
        <v>99</v>
      </c>
      <c r="H96" s="3" t="s">
        <v>136</v>
      </c>
      <c r="I96" s="3" t="s">
        <v>82</v>
      </c>
      <c r="J96" s="3" t="s">
        <v>34</v>
      </c>
      <c r="K96" s="3"/>
      <c r="L96" s="3"/>
      <c r="M96" s="3"/>
      <c r="N96" s="3" t="s">
        <v>35</v>
      </c>
      <c r="O96" s="3" t="s">
        <v>83</v>
      </c>
      <c r="P96" s="4">
        <v>45931.333761574075</v>
      </c>
      <c r="Q96" s="3">
        <v>7777777</v>
      </c>
      <c r="R96" s="3" t="s">
        <v>37</v>
      </c>
      <c r="S96" s="3"/>
      <c r="T96" s="3"/>
      <c r="U96" s="5" t="s">
        <v>38</v>
      </c>
      <c r="V96" s="3"/>
      <c r="W96" s="3" t="s">
        <v>60</v>
      </c>
      <c r="X96" s="3" t="s">
        <v>40</v>
      </c>
      <c r="Y96" s="3" t="s">
        <v>41</v>
      </c>
      <c r="Z96" s="3" t="s">
        <v>42</v>
      </c>
      <c r="AA96" s="3" t="s">
        <v>49</v>
      </c>
      <c r="AB96" s="3" t="s">
        <v>40</v>
      </c>
      <c r="AC96" t="str">
        <f>IFERROR(VLOOKUP(C96,MigradosEfectivamente!B:B,1,FALSE),"No encontrado")</f>
        <v>No encontrado</v>
      </c>
    </row>
    <row r="97" spans="1:29" ht="15" x14ac:dyDescent="0.25">
      <c r="A97" s="3" t="s">
        <v>421</v>
      </c>
      <c r="B97" s="3" t="s">
        <v>422</v>
      </c>
      <c r="C97" s="3">
        <v>1104068868</v>
      </c>
      <c r="D97" s="3" t="s">
        <v>110</v>
      </c>
      <c r="E97" s="3" t="s">
        <v>423</v>
      </c>
      <c r="F97" s="3" t="s">
        <v>424</v>
      </c>
      <c r="G97" s="3">
        <v>349</v>
      </c>
      <c r="H97" s="3" t="s">
        <v>425</v>
      </c>
      <c r="I97" s="3" t="s">
        <v>426</v>
      </c>
      <c r="J97" s="3" t="s">
        <v>34</v>
      </c>
      <c r="K97" s="3"/>
      <c r="L97" s="3"/>
      <c r="M97" s="3"/>
      <c r="N97" s="3" t="s">
        <v>35</v>
      </c>
      <c r="O97" s="3" t="s">
        <v>427</v>
      </c>
      <c r="P97" s="4">
        <v>45930.937858796293</v>
      </c>
      <c r="Q97" s="3">
        <v>1097096498</v>
      </c>
      <c r="R97" s="3" t="s">
        <v>428</v>
      </c>
      <c r="S97" s="3"/>
      <c r="T97" s="3" t="s">
        <v>213</v>
      </c>
      <c r="U97" s="5" t="s">
        <v>38</v>
      </c>
      <c r="V97" s="3"/>
      <c r="W97" s="3"/>
      <c r="X97" s="3" t="s">
        <v>40</v>
      </c>
      <c r="Y97" s="3" t="s">
        <v>41</v>
      </c>
      <c r="Z97" s="3" t="s">
        <v>70</v>
      </c>
      <c r="AA97" s="3" t="s">
        <v>49</v>
      </c>
      <c r="AB97" s="3" t="s">
        <v>40</v>
      </c>
      <c r="AC97" t="str">
        <f>IFERROR(VLOOKUP(C97,MigradosEfectivamente!B:B,1,FALSE),"No encontrado")</f>
        <v>No encontrado</v>
      </c>
    </row>
    <row r="98" spans="1:29" ht="15" x14ac:dyDescent="0.25">
      <c r="A98" s="3" t="s">
        <v>429</v>
      </c>
      <c r="B98" s="3" t="s">
        <v>430</v>
      </c>
      <c r="C98" s="3">
        <v>1005163557</v>
      </c>
      <c r="D98" s="3" t="s">
        <v>108</v>
      </c>
      <c r="E98" s="3">
        <v>3155173057</v>
      </c>
      <c r="F98" s="3" t="s">
        <v>234</v>
      </c>
      <c r="G98" s="3">
        <v>500</v>
      </c>
      <c r="H98" s="3" t="s">
        <v>425</v>
      </c>
      <c r="I98" s="3" t="s">
        <v>431</v>
      </c>
      <c r="J98" s="3" t="s">
        <v>34</v>
      </c>
      <c r="K98" s="3"/>
      <c r="L98" s="3"/>
      <c r="M98" s="3"/>
      <c r="N98" s="3" t="s">
        <v>35</v>
      </c>
      <c r="O98" s="3" t="s">
        <v>432</v>
      </c>
      <c r="P98" s="4">
        <v>45930.875833333332</v>
      </c>
      <c r="Q98" s="3">
        <v>1007382904</v>
      </c>
      <c r="R98" s="3" t="s">
        <v>433</v>
      </c>
      <c r="S98" s="3"/>
      <c r="T98" s="3" t="s">
        <v>213</v>
      </c>
      <c r="U98" s="5" t="s">
        <v>38</v>
      </c>
      <c r="V98" s="3"/>
      <c r="W98" s="3"/>
      <c r="X98" s="3" t="s">
        <v>40</v>
      </c>
      <c r="Y98" s="3" t="s">
        <v>41</v>
      </c>
      <c r="Z98" s="3" t="s">
        <v>92</v>
      </c>
      <c r="AA98" s="3" t="s">
        <v>49</v>
      </c>
      <c r="AB98" s="3" t="s">
        <v>41</v>
      </c>
      <c r="AC98" t="str">
        <f>IFERROR(VLOOKUP(C98,MigradosEfectivamente!B:B,1,FALSE),"No encontrado")</f>
        <v>No encontrado</v>
      </c>
    </row>
    <row r="99" spans="1:29" ht="15" x14ac:dyDescent="0.25">
      <c r="A99" s="3" t="s">
        <v>434</v>
      </c>
      <c r="B99" s="3" t="s">
        <v>435</v>
      </c>
      <c r="C99" s="3">
        <v>1093908575</v>
      </c>
      <c r="D99" s="3" t="s">
        <v>169</v>
      </c>
      <c r="E99" s="3">
        <v>3143184325</v>
      </c>
      <c r="F99" s="3" t="s">
        <v>436</v>
      </c>
      <c r="G99" s="3">
        <v>500</v>
      </c>
      <c r="H99" s="3" t="s">
        <v>69</v>
      </c>
      <c r="I99" s="3" t="s">
        <v>431</v>
      </c>
      <c r="J99" s="3" t="s">
        <v>34</v>
      </c>
      <c r="K99" s="3"/>
      <c r="L99" s="3"/>
      <c r="M99" s="3"/>
      <c r="N99" s="3" t="s">
        <v>35</v>
      </c>
      <c r="O99" s="3" t="s">
        <v>437</v>
      </c>
      <c r="P99" s="4">
        <v>45930.76357638889</v>
      </c>
      <c r="Q99" s="3">
        <v>1232392469</v>
      </c>
      <c r="R99" s="3" t="s">
        <v>212</v>
      </c>
      <c r="S99" s="3"/>
      <c r="T99" s="3"/>
      <c r="U99" s="5" t="s">
        <v>38</v>
      </c>
      <c r="V99" s="3"/>
      <c r="W99" s="3"/>
      <c r="X99" s="3" t="s">
        <v>40</v>
      </c>
      <c r="Y99" s="3" t="s">
        <v>41</v>
      </c>
      <c r="Z99" s="3" t="s">
        <v>70</v>
      </c>
      <c r="AA99" s="3" t="s">
        <v>49</v>
      </c>
      <c r="AB99" s="3" t="s">
        <v>41</v>
      </c>
      <c r="AC99" t="str">
        <f>IFERROR(VLOOKUP(C99,MigradosEfectivamente!B:B,1,FALSE),"No encontrado")</f>
        <v>No encontrado</v>
      </c>
    </row>
    <row r="100" spans="1:29" ht="45" x14ac:dyDescent="0.25">
      <c r="A100" s="3" t="s">
        <v>438</v>
      </c>
      <c r="B100" s="3" t="s">
        <v>439</v>
      </c>
      <c r="C100" s="3">
        <v>1004808410</v>
      </c>
      <c r="D100" s="3" t="s">
        <v>440</v>
      </c>
      <c r="E100" s="3">
        <v>3224611612</v>
      </c>
      <c r="F100" s="3" t="s">
        <v>441</v>
      </c>
      <c r="G100" s="3">
        <v>99</v>
      </c>
      <c r="H100" s="3" t="s">
        <v>69</v>
      </c>
      <c r="I100" s="3" t="s">
        <v>82</v>
      </c>
      <c r="J100" s="3" t="s">
        <v>34</v>
      </c>
      <c r="K100" s="3"/>
      <c r="L100" s="3"/>
      <c r="M100" s="3"/>
      <c r="N100" s="3" t="s">
        <v>35</v>
      </c>
      <c r="O100" s="3" t="s">
        <v>83</v>
      </c>
      <c r="P100" s="4">
        <v>45930.43854166667</v>
      </c>
      <c r="Q100" s="3">
        <v>7777777</v>
      </c>
      <c r="R100" s="3" t="s">
        <v>37</v>
      </c>
      <c r="S100" s="3"/>
      <c r="T100" s="3"/>
      <c r="U100" s="5" t="s">
        <v>38</v>
      </c>
      <c r="V100" s="3"/>
      <c r="W100" s="3" t="s">
        <v>39</v>
      </c>
      <c r="X100" s="3" t="s">
        <v>40</v>
      </c>
      <c r="Y100" s="3" t="s">
        <v>41</v>
      </c>
      <c r="Z100" s="3" t="s">
        <v>70</v>
      </c>
      <c r="AA100" s="3" t="s">
        <v>49</v>
      </c>
      <c r="AB100" s="3" t="s">
        <v>40</v>
      </c>
      <c r="AC100" t="str">
        <f>IFERROR(VLOOKUP(C100,MigradosEfectivamente!B:B,1,FALSE),"No encontrado")</f>
        <v>No encontrado</v>
      </c>
    </row>
    <row r="101" spans="1:29" ht="45" x14ac:dyDescent="0.25">
      <c r="A101" s="3" t="s">
        <v>442</v>
      </c>
      <c r="B101" s="3" t="s">
        <v>443</v>
      </c>
      <c r="C101" s="3">
        <v>1090517665</v>
      </c>
      <c r="D101" s="3" t="s">
        <v>444</v>
      </c>
      <c r="E101" s="3" t="s">
        <v>445</v>
      </c>
      <c r="F101" s="3" t="s">
        <v>446</v>
      </c>
      <c r="G101" s="3">
        <v>99</v>
      </c>
      <c r="H101" s="3" t="s">
        <v>69</v>
      </c>
      <c r="I101" s="3" t="s">
        <v>82</v>
      </c>
      <c r="J101" s="3" t="s">
        <v>34</v>
      </c>
      <c r="K101" s="3"/>
      <c r="L101" s="3"/>
      <c r="M101" s="3"/>
      <c r="N101" s="3" t="s">
        <v>35</v>
      </c>
      <c r="O101" s="3" t="s">
        <v>83</v>
      </c>
      <c r="P101" s="4">
        <v>45930.437581018516</v>
      </c>
      <c r="Q101" s="3">
        <v>7777777</v>
      </c>
      <c r="R101" s="3" t="s">
        <v>37</v>
      </c>
      <c r="S101" s="3"/>
      <c r="T101" s="3"/>
      <c r="U101" s="5" t="s">
        <v>38</v>
      </c>
      <c r="V101" s="3"/>
      <c r="W101" s="3" t="s">
        <v>39</v>
      </c>
      <c r="X101" s="3" t="s">
        <v>41</v>
      </c>
      <c r="Y101" s="3" t="s">
        <v>41</v>
      </c>
      <c r="Z101" s="3" t="s">
        <v>92</v>
      </c>
      <c r="AA101" s="3" t="s">
        <v>49</v>
      </c>
      <c r="AB101" s="3" t="s">
        <v>40</v>
      </c>
      <c r="AC101" t="str">
        <f>IFERROR(VLOOKUP(C101,MigradosEfectivamente!B:B,1,FALSE),"No encontrado")</f>
        <v>No encontrado</v>
      </c>
    </row>
    <row r="102" spans="1:29" ht="60" x14ac:dyDescent="0.25">
      <c r="A102" s="3" t="s">
        <v>447</v>
      </c>
      <c r="B102" s="3" t="s">
        <v>448</v>
      </c>
      <c r="C102" s="3">
        <v>1054569362</v>
      </c>
      <c r="D102" s="3" t="s">
        <v>122</v>
      </c>
      <c r="E102" s="3">
        <v>3165816673</v>
      </c>
      <c r="F102" s="3" t="s">
        <v>449</v>
      </c>
      <c r="G102" s="3">
        <v>89</v>
      </c>
      <c r="H102" s="3" t="s">
        <v>97</v>
      </c>
      <c r="I102" s="3" t="s">
        <v>33</v>
      </c>
      <c r="J102" s="3" t="s">
        <v>34</v>
      </c>
      <c r="K102" s="3"/>
      <c r="L102" s="3"/>
      <c r="M102" s="3"/>
      <c r="N102" s="3" t="s">
        <v>35</v>
      </c>
      <c r="O102" s="3" t="s">
        <v>36</v>
      </c>
      <c r="P102" s="4">
        <v>45929.878495370373</v>
      </c>
      <c r="Q102" s="3">
        <v>7777777</v>
      </c>
      <c r="R102" s="3" t="s">
        <v>37</v>
      </c>
      <c r="S102" s="3"/>
      <c r="T102" s="3"/>
      <c r="U102" s="5" t="s">
        <v>38</v>
      </c>
      <c r="V102" s="3"/>
      <c r="W102" s="3" t="s">
        <v>60</v>
      </c>
      <c r="X102" s="3" t="s">
        <v>40</v>
      </c>
      <c r="Y102" s="3" t="s">
        <v>41</v>
      </c>
      <c r="Z102" s="3" t="s">
        <v>42</v>
      </c>
      <c r="AA102" s="3" t="s">
        <v>49</v>
      </c>
      <c r="AB102" s="3" t="s">
        <v>40</v>
      </c>
      <c r="AC102" t="str">
        <f>IFERROR(VLOOKUP(C102,MigradosEfectivamente!B:B,1,FALSE),"No encontrado")</f>
        <v>No encontrado</v>
      </c>
    </row>
    <row r="103" spans="1:29" ht="45" x14ac:dyDescent="0.25">
      <c r="A103" s="3" t="s">
        <v>450</v>
      </c>
      <c r="B103" s="3" t="s">
        <v>451</v>
      </c>
      <c r="C103" s="3">
        <v>1000215352</v>
      </c>
      <c r="D103" s="3" t="s">
        <v>452</v>
      </c>
      <c r="E103" s="3">
        <v>3023449001</v>
      </c>
      <c r="F103" s="3" t="s">
        <v>453</v>
      </c>
      <c r="G103" s="3">
        <v>349</v>
      </c>
      <c r="H103" s="3" t="s">
        <v>69</v>
      </c>
      <c r="I103" s="3" t="s">
        <v>137</v>
      </c>
      <c r="J103" s="3" t="s">
        <v>34</v>
      </c>
      <c r="K103" s="3"/>
      <c r="L103" s="3"/>
      <c r="M103" s="3"/>
      <c r="N103" s="3" t="s">
        <v>35</v>
      </c>
      <c r="O103" s="3" t="s">
        <v>138</v>
      </c>
      <c r="P103" s="4">
        <v>45929.84884259259</v>
      </c>
      <c r="Q103" s="3">
        <v>7777777</v>
      </c>
      <c r="R103" s="3" t="s">
        <v>37</v>
      </c>
      <c r="S103" s="3"/>
      <c r="T103" s="3"/>
      <c r="U103" s="5" t="s">
        <v>38</v>
      </c>
      <c r="V103" s="3"/>
      <c r="W103" s="3" t="s">
        <v>39</v>
      </c>
      <c r="X103" s="3" t="s">
        <v>40</v>
      </c>
      <c r="Y103" s="3" t="s">
        <v>41</v>
      </c>
      <c r="Z103" s="3" t="s">
        <v>70</v>
      </c>
      <c r="AA103" s="3" t="s">
        <v>49</v>
      </c>
      <c r="AB103" s="3" t="s">
        <v>41</v>
      </c>
      <c r="AC103" t="str">
        <f>IFERROR(VLOOKUP(C103,MigradosEfectivamente!B:B,1,FALSE),"No encontrado")</f>
        <v>No encontrado</v>
      </c>
    </row>
    <row r="104" spans="1:29" ht="60" x14ac:dyDescent="0.25">
      <c r="A104" s="3" t="s">
        <v>454</v>
      </c>
      <c r="B104" s="3" t="s">
        <v>455</v>
      </c>
      <c r="C104" s="3">
        <v>1099742926</v>
      </c>
      <c r="D104" s="3" t="s">
        <v>456</v>
      </c>
      <c r="E104" s="3">
        <v>3160548487</v>
      </c>
      <c r="F104" s="3" t="s">
        <v>457</v>
      </c>
      <c r="G104" s="3">
        <v>89</v>
      </c>
      <c r="H104" s="3" t="s">
        <v>54</v>
      </c>
      <c r="I104" s="3" t="s">
        <v>82</v>
      </c>
      <c r="J104" s="3" t="s">
        <v>34</v>
      </c>
      <c r="K104" s="3"/>
      <c r="L104" s="3"/>
      <c r="M104" s="3"/>
      <c r="N104" s="3" t="s">
        <v>35</v>
      </c>
      <c r="O104" s="3" t="s">
        <v>36</v>
      </c>
      <c r="P104" s="4">
        <v>45929.339444444442</v>
      </c>
      <c r="Q104" s="3">
        <v>7777777</v>
      </c>
      <c r="R104" s="3" t="s">
        <v>37</v>
      </c>
      <c r="S104" s="3"/>
      <c r="T104" s="3"/>
      <c r="U104" s="5" t="s">
        <v>38</v>
      </c>
      <c r="V104" s="3"/>
      <c r="W104" s="3" t="s">
        <v>60</v>
      </c>
      <c r="X104" s="3" t="s">
        <v>41</v>
      </c>
      <c r="Y104" s="3" t="s">
        <v>41</v>
      </c>
      <c r="Z104" s="3" t="s">
        <v>42</v>
      </c>
      <c r="AA104" s="3" t="s">
        <v>49</v>
      </c>
      <c r="AB104" s="3" t="s">
        <v>40</v>
      </c>
      <c r="AC104" t="str">
        <f>IFERROR(VLOOKUP(C104,MigradosEfectivamente!B:B,1,FALSE),"No encontrado")</f>
        <v>No encontrado</v>
      </c>
    </row>
    <row r="105" spans="1:29" ht="15" x14ac:dyDescent="0.25">
      <c r="A105" s="3">
        <v>23473</v>
      </c>
      <c r="B105" s="3" t="s">
        <v>458</v>
      </c>
      <c r="C105" s="3">
        <v>79390827</v>
      </c>
      <c r="D105" s="3" t="s">
        <v>169</v>
      </c>
      <c r="E105" s="3">
        <v>3134914130</v>
      </c>
      <c r="F105" s="3" t="s">
        <v>459</v>
      </c>
      <c r="G105" s="3">
        <v>150</v>
      </c>
      <c r="H105" s="3" t="s">
        <v>269</v>
      </c>
      <c r="I105" s="3" t="s">
        <v>460</v>
      </c>
      <c r="J105" s="3" t="s">
        <v>34</v>
      </c>
      <c r="K105" s="3"/>
      <c r="L105" s="3"/>
      <c r="M105" s="3"/>
      <c r="N105" s="3" t="s">
        <v>35</v>
      </c>
      <c r="O105" s="3" t="s">
        <v>461</v>
      </c>
      <c r="P105" s="4">
        <v>45927.700023148151</v>
      </c>
      <c r="Q105" s="3">
        <v>1007193795</v>
      </c>
      <c r="R105" s="3" t="s">
        <v>462</v>
      </c>
      <c r="S105" s="3"/>
      <c r="T105" s="3"/>
      <c r="U105" s="5" t="s">
        <v>38</v>
      </c>
      <c r="V105" s="3"/>
      <c r="W105" s="3"/>
      <c r="X105" s="3" t="s">
        <v>41</v>
      </c>
      <c r="Y105" s="3" t="s">
        <v>41</v>
      </c>
      <c r="Z105" s="3" t="s">
        <v>70</v>
      </c>
      <c r="AA105" s="3" t="s">
        <v>49</v>
      </c>
      <c r="AB105" s="3" t="s">
        <v>40</v>
      </c>
      <c r="AC105" t="str">
        <f>IFERROR(VLOOKUP(C105,MigradosEfectivamente!B:B,1,FALSE),"No encontrado")</f>
        <v>No encontrado</v>
      </c>
    </row>
    <row r="106" spans="1:29" ht="45" x14ac:dyDescent="0.25">
      <c r="A106" s="3" t="s">
        <v>463</v>
      </c>
      <c r="B106" s="3" t="s">
        <v>464</v>
      </c>
      <c r="C106" s="3">
        <v>1091676095</v>
      </c>
      <c r="D106" s="3" t="s">
        <v>465</v>
      </c>
      <c r="E106" s="3">
        <v>3156796100</v>
      </c>
      <c r="F106" s="3" t="s">
        <v>466</v>
      </c>
      <c r="G106" s="3">
        <v>89</v>
      </c>
      <c r="H106" s="3" t="s">
        <v>69</v>
      </c>
      <c r="I106" s="3" t="s">
        <v>33</v>
      </c>
      <c r="J106" s="3" t="s">
        <v>34</v>
      </c>
      <c r="K106" s="3"/>
      <c r="L106" s="3"/>
      <c r="M106" s="3"/>
      <c r="N106" s="3" t="s">
        <v>35</v>
      </c>
      <c r="O106" s="3" t="s">
        <v>36</v>
      </c>
      <c r="P106" s="4">
        <v>45926.764039351852</v>
      </c>
      <c r="Q106" s="3">
        <v>7777777</v>
      </c>
      <c r="R106" s="3" t="s">
        <v>37</v>
      </c>
      <c r="S106" s="3"/>
      <c r="T106" s="3"/>
      <c r="U106" s="5" t="s">
        <v>38</v>
      </c>
      <c r="V106" s="3"/>
      <c r="W106" s="3" t="s">
        <v>39</v>
      </c>
      <c r="X106" s="3" t="s">
        <v>40</v>
      </c>
      <c r="Y106" s="3" t="s">
        <v>41</v>
      </c>
      <c r="Z106" s="3" t="s">
        <v>42</v>
      </c>
      <c r="AA106" s="3" t="s">
        <v>49</v>
      </c>
      <c r="AB106" s="3" t="s">
        <v>40</v>
      </c>
      <c r="AC106" t="str">
        <f>IFERROR(VLOOKUP(C106,MigradosEfectivamente!B:B,1,FALSE),"No encontrado")</f>
        <v>No encontrado</v>
      </c>
    </row>
    <row r="107" spans="1:29" ht="60" x14ac:dyDescent="0.25">
      <c r="A107" s="3" t="s">
        <v>467</v>
      </c>
      <c r="B107" s="3" t="s">
        <v>468</v>
      </c>
      <c r="C107" s="3">
        <v>1010132612</v>
      </c>
      <c r="D107" s="3" t="s">
        <v>288</v>
      </c>
      <c r="E107" s="3" t="s">
        <v>469</v>
      </c>
      <c r="F107" s="3" t="s">
        <v>470</v>
      </c>
      <c r="G107" s="3">
        <v>89</v>
      </c>
      <c r="H107" s="3" t="s">
        <v>69</v>
      </c>
      <c r="I107" s="3" t="s">
        <v>82</v>
      </c>
      <c r="J107" s="3" t="s">
        <v>34</v>
      </c>
      <c r="K107" s="3"/>
      <c r="L107" s="3"/>
      <c r="M107" s="3"/>
      <c r="N107" s="3" t="s">
        <v>35</v>
      </c>
      <c r="O107" s="3" t="s">
        <v>36</v>
      </c>
      <c r="P107" s="4">
        <v>45925.876539351855</v>
      </c>
      <c r="Q107" s="3">
        <v>7777777</v>
      </c>
      <c r="R107" s="3" t="s">
        <v>37</v>
      </c>
      <c r="S107" s="3"/>
      <c r="T107" s="3"/>
      <c r="U107" s="5" t="s">
        <v>38</v>
      </c>
      <c r="V107" s="3"/>
      <c r="W107" s="3" t="s">
        <v>60</v>
      </c>
      <c r="X107" s="3" t="s">
        <v>40</v>
      </c>
      <c r="Y107" s="3" t="s">
        <v>41</v>
      </c>
      <c r="Z107" s="3" t="s">
        <v>42</v>
      </c>
      <c r="AA107" s="3" t="s">
        <v>49</v>
      </c>
      <c r="AB107" s="3" t="s">
        <v>40</v>
      </c>
      <c r="AC107" t="str">
        <f>IFERROR(VLOOKUP(C107,MigradosEfectivamente!B:B,1,FALSE),"No encontrado")</f>
        <v>No encontrado</v>
      </c>
    </row>
    <row r="108" spans="1:29" ht="45" x14ac:dyDescent="0.25">
      <c r="A108" s="3" t="s">
        <v>471</v>
      </c>
      <c r="B108" s="3" t="s">
        <v>472</v>
      </c>
      <c r="C108" s="3">
        <v>1095962832</v>
      </c>
      <c r="D108" s="3" t="s">
        <v>122</v>
      </c>
      <c r="E108" s="3">
        <v>3172766605</v>
      </c>
      <c r="F108" s="3" t="s">
        <v>473</v>
      </c>
      <c r="G108" s="3">
        <v>89</v>
      </c>
      <c r="H108" s="3" t="s">
        <v>136</v>
      </c>
      <c r="I108" s="3" t="s">
        <v>33</v>
      </c>
      <c r="J108" s="3" t="s">
        <v>34</v>
      </c>
      <c r="K108" s="3"/>
      <c r="L108" s="3"/>
      <c r="M108" s="3"/>
      <c r="N108" s="3" t="s">
        <v>35</v>
      </c>
      <c r="O108" s="3" t="s">
        <v>36</v>
      </c>
      <c r="P108" s="4">
        <v>45925.788599537038</v>
      </c>
      <c r="Q108" s="3">
        <v>7777777</v>
      </c>
      <c r="R108" s="3" t="s">
        <v>37</v>
      </c>
      <c r="S108" s="3"/>
      <c r="T108" s="3"/>
      <c r="U108" s="5" t="s">
        <v>38</v>
      </c>
      <c r="V108" s="3"/>
      <c r="W108" s="3" t="s">
        <v>39</v>
      </c>
      <c r="X108" s="3" t="s">
        <v>40</v>
      </c>
      <c r="Y108" s="3" t="s">
        <v>41</v>
      </c>
      <c r="Z108" s="3" t="s">
        <v>70</v>
      </c>
      <c r="AA108" s="3" t="s">
        <v>49</v>
      </c>
      <c r="AB108" s="3" t="s">
        <v>40</v>
      </c>
      <c r="AC108" t="str">
        <f>IFERROR(VLOOKUP(C108,MigradosEfectivamente!B:B,1,FALSE),"No encontrado")</f>
        <v>No encontrado</v>
      </c>
    </row>
    <row r="109" spans="1:29" ht="45" x14ac:dyDescent="0.25">
      <c r="A109" s="3" t="s">
        <v>474</v>
      </c>
      <c r="B109" s="3" t="s">
        <v>475</v>
      </c>
      <c r="C109" s="3">
        <v>1093591216</v>
      </c>
      <c r="D109" s="3" t="s">
        <v>476</v>
      </c>
      <c r="E109" s="3" t="s">
        <v>477</v>
      </c>
      <c r="F109" s="3" t="s">
        <v>478</v>
      </c>
      <c r="G109" s="3">
        <v>99</v>
      </c>
      <c r="H109" s="3" t="s">
        <v>136</v>
      </c>
      <c r="I109" s="3" t="s">
        <v>82</v>
      </c>
      <c r="J109" s="3" t="s">
        <v>34</v>
      </c>
      <c r="K109" s="3"/>
      <c r="L109" s="3"/>
      <c r="M109" s="3"/>
      <c r="N109" s="3" t="s">
        <v>35</v>
      </c>
      <c r="O109" s="3" t="s">
        <v>83</v>
      </c>
      <c r="P109" s="4">
        <v>45925.640868055554</v>
      </c>
      <c r="Q109" s="3">
        <v>7777777</v>
      </c>
      <c r="R109" s="3" t="s">
        <v>37</v>
      </c>
      <c r="S109" s="3"/>
      <c r="T109" s="3"/>
      <c r="U109" s="5" t="s">
        <v>38</v>
      </c>
      <c r="V109" s="3"/>
      <c r="W109" s="3" t="s">
        <v>39</v>
      </c>
      <c r="X109" s="3" t="s">
        <v>40</v>
      </c>
      <c r="Y109" s="3" t="s">
        <v>41</v>
      </c>
      <c r="Z109" s="3" t="s">
        <v>42</v>
      </c>
      <c r="AA109" s="3" t="s">
        <v>49</v>
      </c>
      <c r="AB109" s="3" t="s">
        <v>40</v>
      </c>
      <c r="AC109" t="str">
        <f>IFERROR(VLOOKUP(C109,MigradosEfectivamente!B:B,1,FALSE),"No encontrado")</f>
        <v>No encontrado</v>
      </c>
    </row>
    <row r="110" spans="1:29" ht="60" x14ac:dyDescent="0.25">
      <c r="A110" s="3" t="s">
        <v>479</v>
      </c>
      <c r="B110" s="3" t="s">
        <v>480</v>
      </c>
      <c r="C110" s="3">
        <v>1406230</v>
      </c>
      <c r="D110" s="3" t="s">
        <v>481</v>
      </c>
      <c r="E110" s="3">
        <v>3229161573</v>
      </c>
      <c r="F110" s="3" t="s">
        <v>482</v>
      </c>
      <c r="G110" s="3">
        <v>89</v>
      </c>
      <c r="H110" s="3" t="s">
        <v>97</v>
      </c>
      <c r="I110" s="3" t="s">
        <v>33</v>
      </c>
      <c r="J110" s="3" t="s">
        <v>34</v>
      </c>
      <c r="K110" s="3"/>
      <c r="L110" s="3"/>
      <c r="M110" s="3"/>
      <c r="N110" s="3" t="s">
        <v>35</v>
      </c>
      <c r="O110" s="3" t="s">
        <v>36</v>
      </c>
      <c r="P110" s="4">
        <v>45925.587037037039</v>
      </c>
      <c r="Q110" s="3">
        <v>7777777</v>
      </c>
      <c r="R110" s="3" t="s">
        <v>37</v>
      </c>
      <c r="S110" s="3"/>
      <c r="T110" s="3"/>
      <c r="U110" s="5" t="s">
        <v>38</v>
      </c>
      <c r="V110" s="3"/>
      <c r="W110" s="3" t="s">
        <v>60</v>
      </c>
      <c r="X110" s="3" t="s">
        <v>40</v>
      </c>
      <c r="Y110" s="3" t="s">
        <v>40</v>
      </c>
      <c r="Z110" s="3" t="s">
        <v>42</v>
      </c>
      <c r="AA110" s="3" t="s">
        <v>49</v>
      </c>
      <c r="AB110" s="3" t="s">
        <v>40</v>
      </c>
      <c r="AC110" t="str">
        <f>IFERROR(VLOOKUP(C110,MigradosEfectivamente!B:B,1,FALSE),"No encontrado")</f>
        <v>No encontrado</v>
      </c>
    </row>
    <row r="111" spans="1:29" ht="60" x14ac:dyDescent="0.25">
      <c r="A111" s="3" t="s">
        <v>483</v>
      </c>
      <c r="B111" s="3" t="s">
        <v>484</v>
      </c>
      <c r="C111" s="3">
        <v>1119701330</v>
      </c>
      <c r="D111" s="3" t="s">
        <v>485</v>
      </c>
      <c r="E111" s="3">
        <v>3102377978</v>
      </c>
      <c r="F111" s="3" t="s">
        <v>486</v>
      </c>
      <c r="G111" s="3">
        <v>89</v>
      </c>
      <c r="H111" s="3" t="s">
        <v>69</v>
      </c>
      <c r="I111" s="3" t="s">
        <v>33</v>
      </c>
      <c r="J111" s="3" t="s">
        <v>34</v>
      </c>
      <c r="K111" s="3"/>
      <c r="L111" s="3"/>
      <c r="M111" s="3"/>
      <c r="N111" s="3" t="s">
        <v>35</v>
      </c>
      <c r="O111" s="3" t="s">
        <v>36</v>
      </c>
      <c r="P111" s="4">
        <v>45925.585902777777</v>
      </c>
      <c r="Q111" s="3">
        <v>7777777</v>
      </c>
      <c r="R111" s="3" t="s">
        <v>37</v>
      </c>
      <c r="S111" s="3"/>
      <c r="T111" s="3"/>
      <c r="U111" s="5" t="s">
        <v>38</v>
      </c>
      <c r="V111" s="3"/>
      <c r="W111" s="3" t="s">
        <v>60</v>
      </c>
      <c r="X111" s="3" t="s">
        <v>41</v>
      </c>
      <c r="Y111" s="3" t="s">
        <v>41</v>
      </c>
      <c r="Z111" s="3" t="s">
        <v>92</v>
      </c>
      <c r="AA111" s="3" t="s">
        <v>49</v>
      </c>
      <c r="AB111" s="3" t="s">
        <v>40</v>
      </c>
      <c r="AC111" t="str">
        <f>IFERROR(VLOOKUP(C111,MigradosEfectivamente!B:B,1,FALSE),"No encontrado")</f>
        <v>No encontrado</v>
      </c>
    </row>
    <row r="112" spans="1:29" ht="60" x14ac:dyDescent="0.25">
      <c r="A112" s="3" t="s">
        <v>487</v>
      </c>
      <c r="B112" s="3" t="s">
        <v>488</v>
      </c>
      <c r="C112" s="3">
        <v>5133057</v>
      </c>
      <c r="D112" s="3" t="s">
        <v>489</v>
      </c>
      <c r="E112" s="3">
        <v>3208321025</v>
      </c>
      <c r="F112" s="3" t="s">
        <v>490</v>
      </c>
      <c r="G112" s="3">
        <v>89</v>
      </c>
      <c r="H112" s="3" t="s">
        <v>54</v>
      </c>
      <c r="I112" s="3" t="s">
        <v>33</v>
      </c>
      <c r="J112" s="3" t="s">
        <v>34</v>
      </c>
      <c r="K112" s="3"/>
      <c r="L112" s="3"/>
      <c r="M112" s="3"/>
      <c r="N112" s="3" t="s">
        <v>35</v>
      </c>
      <c r="O112" s="3" t="s">
        <v>36</v>
      </c>
      <c r="P112" s="4">
        <v>45925.584722222222</v>
      </c>
      <c r="Q112" s="3">
        <v>7777777</v>
      </c>
      <c r="R112" s="3" t="s">
        <v>37</v>
      </c>
      <c r="S112" s="3"/>
      <c r="T112" s="3"/>
      <c r="U112" s="5" t="s">
        <v>38</v>
      </c>
      <c r="V112" s="3"/>
      <c r="W112" s="3" t="s">
        <v>60</v>
      </c>
      <c r="X112" s="3" t="s">
        <v>40</v>
      </c>
      <c r="Y112" s="3" t="s">
        <v>41</v>
      </c>
      <c r="Z112" s="3" t="s">
        <v>70</v>
      </c>
      <c r="AA112" s="3" t="s">
        <v>49</v>
      </c>
      <c r="AB112" s="3" t="s">
        <v>40</v>
      </c>
      <c r="AC112" t="str">
        <f>IFERROR(VLOOKUP(C112,MigradosEfectivamente!B:B,1,FALSE),"No encontrado")</f>
        <v>No encontrado</v>
      </c>
    </row>
    <row r="113" spans="1:29" ht="45" x14ac:dyDescent="0.25">
      <c r="A113" s="3" t="s">
        <v>491</v>
      </c>
      <c r="B113" s="3" t="s">
        <v>492</v>
      </c>
      <c r="C113" s="3">
        <v>1193137283</v>
      </c>
      <c r="D113" s="3" t="s">
        <v>493</v>
      </c>
      <c r="E113" s="3">
        <v>3143837186</v>
      </c>
      <c r="F113" s="3" t="s">
        <v>494</v>
      </c>
      <c r="G113" s="3">
        <v>349</v>
      </c>
      <c r="H113" s="3" t="s">
        <v>136</v>
      </c>
      <c r="I113" s="3" t="s">
        <v>137</v>
      </c>
      <c r="J113" s="3" t="s">
        <v>34</v>
      </c>
      <c r="K113" s="3"/>
      <c r="L113" s="3"/>
      <c r="M113" s="3"/>
      <c r="N113" s="3" t="s">
        <v>35</v>
      </c>
      <c r="O113" s="3" t="s">
        <v>138</v>
      </c>
      <c r="P113" s="4">
        <v>45925.549768518518</v>
      </c>
      <c r="Q113" s="3">
        <v>7777777</v>
      </c>
      <c r="R113" s="3" t="s">
        <v>37</v>
      </c>
      <c r="S113" s="3"/>
      <c r="T113" s="3"/>
      <c r="U113" s="5" t="s">
        <v>38</v>
      </c>
      <c r="V113" s="3"/>
      <c r="W113" s="3" t="s">
        <v>39</v>
      </c>
      <c r="X113" s="3" t="s">
        <v>40</v>
      </c>
      <c r="Y113" s="3" t="s">
        <v>41</v>
      </c>
      <c r="Z113" s="3" t="s">
        <v>70</v>
      </c>
      <c r="AA113" s="3" t="s">
        <v>49</v>
      </c>
      <c r="AB113" s="3" t="s">
        <v>40</v>
      </c>
      <c r="AC113" t="str">
        <f>IFERROR(VLOOKUP(C113,MigradosEfectivamente!B:B,1,FALSE),"No encontrado")</f>
        <v>No encontrado</v>
      </c>
    </row>
    <row r="114" spans="1:29" ht="60" x14ac:dyDescent="0.25">
      <c r="A114" s="3" t="s">
        <v>495</v>
      </c>
      <c r="B114" s="3" t="s">
        <v>496</v>
      </c>
      <c r="C114" s="3">
        <v>1098730806</v>
      </c>
      <c r="D114" s="3" t="s">
        <v>202</v>
      </c>
      <c r="E114" s="3">
        <v>3177163206</v>
      </c>
      <c r="F114" s="3" t="s">
        <v>497</v>
      </c>
      <c r="G114" s="3">
        <v>89</v>
      </c>
      <c r="H114" s="3" t="s">
        <v>97</v>
      </c>
      <c r="I114" s="3" t="s">
        <v>33</v>
      </c>
      <c r="J114" s="3" t="s">
        <v>34</v>
      </c>
      <c r="K114" s="3"/>
      <c r="L114" s="3"/>
      <c r="M114" s="3"/>
      <c r="N114" s="3" t="s">
        <v>35</v>
      </c>
      <c r="O114" s="3" t="s">
        <v>36</v>
      </c>
      <c r="P114" s="4">
        <v>45925.338182870371</v>
      </c>
      <c r="Q114" s="3">
        <v>7777777</v>
      </c>
      <c r="R114" s="3" t="s">
        <v>37</v>
      </c>
      <c r="S114" s="3"/>
      <c r="T114" s="3"/>
      <c r="U114" s="5" t="s">
        <v>38</v>
      </c>
      <c r="V114" s="3"/>
      <c r="W114" s="3" t="s">
        <v>60</v>
      </c>
      <c r="X114" s="3" t="s">
        <v>40</v>
      </c>
      <c r="Y114" s="3" t="s">
        <v>41</v>
      </c>
      <c r="Z114" s="3" t="s">
        <v>70</v>
      </c>
      <c r="AA114" s="3" t="s">
        <v>49</v>
      </c>
      <c r="AB114" s="3" t="s">
        <v>40</v>
      </c>
      <c r="AC114" t="str">
        <f>IFERROR(VLOOKUP(C114,MigradosEfectivamente!B:B,1,FALSE),"No encontrado")</f>
        <v>No encontrado</v>
      </c>
    </row>
    <row r="115" spans="1:29" ht="60" x14ac:dyDescent="0.25">
      <c r="A115" s="3">
        <v>23454</v>
      </c>
      <c r="B115" s="3" t="s">
        <v>498</v>
      </c>
      <c r="C115" s="3">
        <v>13717603</v>
      </c>
      <c r="D115" s="3" t="s">
        <v>499</v>
      </c>
      <c r="E115" s="3">
        <v>3148940860</v>
      </c>
      <c r="F115" s="3" t="s">
        <v>500</v>
      </c>
      <c r="G115" s="3">
        <v>89</v>
      </c>
      <c r="H115" s="3" t="s">
        <v>269</v>
      </c>
      <c r="I115" s="3" t="s">
        <v>33</v>
      </c>
      <c r="J115" s="3" t="s">
        <v>34</v>
      </c>
      <c r="K115" s="3"/>
      <c r="L115" s="3"/>
      <c r="M115" s="3"/>
      <c r="N115" s="3" t="s">
        <v>35</v>
      </c>
      <c r="O115" s="3" t="s">
        <v>36</v>
      </c>
      <c r="P115" s="4">
        <v>45925.337488425925</v>
      </c>
      <c r="Q115" s="3">
        <v>7777777</v>
      </c>
      <c r="R115" s="3" t="s">
        <v>37</v>
      </c>
      <c r="S115" s="3"/>
      <c r="T115" s="3"/>
      <c r="U115" s="5" t="s">
        <v>38</v>
      </c>
      <c r="V115" s="3"/>
      <c r="W115" s="3" t="s">
        <v>60</v>
      </c>
      <c r="X115" s="3" t="s">
        <v>41</v>
      </c>
      <c r="Y115" s="3" t="s">
        <v>41</v>
      </c>
      <c r="Z115" s="3" t="s">
        <v>42</v>
      </c>
      <c r="AA115" s="3" t="s">
        <v>49</v>
      </c>
      <c r="AB115" s="3" t="s">
        <v>40</v>
      </c>
      <c r="AC115">
        <f>IFERROR(VLOOKUP(C115,MigradosEfectivamente!B:B,1,FALSE),"No encontrado")</f>
        <v>13717603</v>
      </c>
    </row>
    <row r="116" spans="1:29" ht="60" x14ac:dyDescent="0.25">
      <c r="A116" s="3" t="s">
        <v>501</v>
      </c>
      <c r="B116" s="3" t="s">
        <v>502</v>
      </c>
      <c r="C116" s="3">
        <v>1003167521</v>
      </c>
      <c r="D116" s="3" t="s">
        <v>169</v>
      </c>
      <c r="E116" s="3">
        <v>3163206424</v>
      </c>
      <c r="F116" s="3" t="s">
        <v>503</v>
      </c>
      <c r="G116" s="3">
        <v>89</v>
      </c>
      <c r="H116" s="3" t="s">
        <v>32</v>
      </c>
      <c r="I116" s="3" t="s">
        <v>33</v>
      </c>
      <c r="J116" s="3" t="s">
        <v>34</v>
      </c>
      <c r="K116" s="3"/>
      <c r="L116" s="3"/>
      <c r="M116" s="3"/>
      <c r="N116" s="3" t="s">
        <v>35</v>
      </c>
      <c r="O116" s="3" t="s">
        <v>36</v>
      </c>
      <c r="P116" s="4">
        <v>45925.336817129632</v>
      </c>
      <c r="Q116" s="3">
        <v>7777777</v>
      </c>
      <c r="R116" s="3" t="s">
        <v>37</v>
      </c>
      <c r="S116" s="3"/>
      <c r="T116" s="3"/>
      <c r="U116" s="5" t="s">
        <v>38</v>
      </c>
      <c r="V116" s="3"/>
      <c r="W116" s="3" t="s">
        <v>60</v>
      </c>
      <c r="X116" s="3" t="s">
        <v>40</v>
      </c>
      <c r="Y116" s="3" t="s">
        <v>41</v>
      </c>
      <c r="Z116" s="3" t="s">
        <v>70</v>
      </c>
      <c r="AA116" s="3" t="s">
        <v>49</v>
      </c>
      <c r="AB116" s="3" t="s">
        <v>40</v>
      </c>
      <c r="AC116" t="str">
        <f>IFERROR(VLOOKUP(C116,MigradosEfectivamente!B:B,1,FALSE),"No encontrado")</f>
        <v>No encontrado</v>
      </c>
    </row>
    <row r="117" spans="1:29" ht="60" x14ac:dyDescent="0.25">
      <c r="A117" s="3" t="s">
        <v>504</v>
      </c>
      <c r="B117" s="3" t="s">
        <v>505</v>
      </c>
      <c r="C117" s="3">
        <v>1064723519</v>
      </c>
      <c r="D117" s="3" t="s">
        <v>506</v>
      </c>
      <c r="E117" s="3">
        <v>3226220480</v>
      </c>
      <c r="F117" s="3" t="s">
        <v>507</v>
      </c>
      <c r="G117" s="3">
        <v>89</v>
      </c>
      <c r="H117" s="3" t="s">
        <v>32</v>
      </c>
      <c r="I117" s="3" t="s">
        <v>33</v>
      </c>
      <c r="J117" s="3" t="s">
        <v>34</v>
      </c>
      <c r="K117" s="3"/>
      <c r="L117" s="3"/>
      <c r="M117" s="3"/>
      <c r="N117" s="3" t="s">
        <v>35</v>
      </c>
      <c r="O117" s="3" t="s">
        <v>36</v>
      </c>
      <c r="P117" s="4">
        <v>45925.336643518516</v>
      </c>
      <c r="Q117" s="3">
        <v>7777777</v>
      </c>
      <c r="R117" s="3" t="s">
        <v>37</v>
      </c>
      <c r="S117" s="3"/>
      <c r="T117" s="3"/>
      <c r="U117" s="5" t="s">
        <v>38</v>
      </c>
      <c r="V117" s="3"/>
      <c r="W117" s="3" t="s">
        <v>60</v>
      </c>
      <c r="X117" s="3" t="s">
        <v>40</v>
      </c>
      <c r="Y117" s="3" t="s">
        <v>40</v>
      </c>
      <c r="Z117" s="3" t="s">
        <v>70</v>
      </c>
      <c r="AA117" s="3" t="s">
        <v>49</v>
      </c>
      <c r="AB117" s="3" t="s">
        <v>40</v>
      </c>
      <c r="AC117" t="str">
        <f>IFERROR(VLOOKUP(C117,MigradosEfectivamente!B:B,1,FALSE),"No encontrado")</f>
        <v>No encontrado</v>
      </c>
    </row>
    <row r="118" spans="1:29" ht="45" x14ac:dyDescent="0.25">
      <c r="A118" s="3" t="s">
        <v>508</v>
      </c>
      <c r="B118" s="3" t="s">
        <v>509</v>
      </c>
      <c r="C118" s="3">
        <v>1090532703</v>
      </c>
      <c r="D118" s="3" t="s">
        <v>510</v>
      </c>
      <c r="E118" s="3" t="s">
        <v>511</v>
      </c>
      <c r="F118" s="3" t="s">
        <v>512</v>
      </c>
      <c r="G118" s="3">
        <v>99</v>
      </c>
      <c r="H118" s="3" t="s">
        <v>136</v>
      </c>
      <c r="I118" s="3" t="s">
        <v>82</v>
      </c>
      <c r="J118" s="3" t="s">
        <v>34</v>
      </c>
      <c r="K118" s="3"/>
      <c r="L118" s="3"/>
      <c r="M118" s="3"/>
      <c r="N118" s="3" t="s">
        <v>35</v>
      </c>
      <c r="O118" s="3" t="s">
        <v>83</v>
      </c>
      <c r="P118" s="4">
        <v>45924.655833333331</v>
      </c>
      <c r="Q118" s="3">
        <v>7777777</v>
      </c>
      <c r="R118" s="3" t="s">
        <v>37</v>
      </c>
      <c r="S118" s="3"/>
      <c r="T118" s="3"/>
      <c r="U118" s="5" t="s">
        <v>38</v>
      </c>
      <c r="V118" s="3"/>
      <c r="W118" s="3" t="s">
        <v>39</v>
      </c>
      <c r="X118" s="3" t="s">
        <v>41</v>
      </c>
      <c r="Y118" s="3" t="s">
        <v>41</v>
      </c>
      <c r="Z118" s="3" t="s">
        <v>42</v>
      </c>
      <c r="AA118" s="3" t="s">
        <v>49</v>
      </c>
      <c r="AB118" s="3" t="s">
        <v>40</v>
      </c>
      <c r="AC118" t="str">
        <f>IFERROR(VLOOKUP(C118,MigradosEfectivamente!B:B,1,FALSE),"No encontrado")</f>
        <v>No encontrado</v>
      </c>
    </row>
    <row r="119" spans="1:29" ht="45" x14ac:dyDescent="0.25">
      <c r="A119" s="3" t="s">
        <v>513</v>
      </c>
      <c r="B119" s="3" t="s">
        <v>514</v>
      </c>
      <c r="C119" s="3">
        <v>1093784792</v>
      </c>
      <c r="D119" s="3" t="s">
        <v>515</v>
      </c>
      <c r="E119" s="3">
        <v>3245720738</v>
      </c>
      <c r="F119" s="3" t="s">
        <v>516</v>
      </c>
      <c r="G119" s="3">
        <v>99</v>
      </c>
      <c r="H119" s="3" t="s">
        <v>69</v>
      </c>
      <c r="I119" s="3" t="s">
        <v>82</v>
      </c>
      <c r="J119" s="3" t="s">
        <v>34</v>
      </c>
      <c r="K119" s="3"/>
      <c r="L119" s="3"/>
      <c r="M119" s="3"/>
      <c r="N119" s="3" t="s">
        <v>35</v>
      </c>
      <c r="O119" s="3" t="s">
        <v>83</v>
      </c>
      <c r="P119" s="4">
        <v>45924.466990740744</v>
      </c>
      <c r="Q119" s="3">
        <v>7777777</v>
      </c>
      <c r="R119" s="3" t="s">
        <v>37</v>
      </c>
      <c r="S119" s="3"/>
      <c r="T119" s="3"/>
      <c r="U119" s="5" t="s">
        <v>38</v>
      </c>
      <c r="V119" s="3"/>
      <c r="W119" s="3" t="s">
        <v>39</v>
      </c>
      <c r="X119" s="3" t="s">
        <v>40</v>
      </c>
      <c r="Y119" s="3" t="s">
        <v>40</v>
      </c>
      <c r="Z119" s="3" t="s">
        <v>42</v>
      </c>
      <c r="AA119" s="3" t="s">
        <v>49</v>
      </c>
      <c r="AB119" s="3" t="s">
        <v>40</v>
      </c>
      <c r="AC119" t="str">
        <f>IFERROR(VLOOKUP(C119,MigradosEfectivamente!B:B,1,FALSE),"No encontrado")</f>
        <v>No encontrado</v>
      </c>
    </row>
    <row r="120" spans="1:29" ht="60" x14ac:dyDescent="0.25">
      <c r="A120" s="3" t="s">
        <v>517</v>
      </c>
      <c r="B120" s="3" t="s">
        <v>518</v>
      </c>
      <c r="C120" s="3">
        <v>1010105287</v>
      </c>
      <c r="D120" s="3" t="s">
        <v>519</v>
      </c>
      <c r="E120" s="3">
        <v>3117528045</v>
      </c>
      <c r="F120" s="3" t="s">
        <v>520</v>
      </c>
      <c r="G120" s="3">
        <v>89</v>
      </c>
      <c r="H120" s="3" t="s">
        <v>136</v>
      </c>
      <c r="I120" s="3" t="s">
        <v>33</v>
      </c>
      <c r="J120" s="3" t="s">
        <v>34</v>
      </c>
      <c r="K120" s="3"/>
      <c r="L120" s="3"/>
      <c r="M120" s="3"/>
      <c r="N120" s="3" t="s">
        <v>35</v>
      </c>
      <c r="O120" s="3" t="s">
        <v>36</v>
      </c>
      <c r="P120" s="4">
        <v>45924.337731481479</v>
      </c>
      <c r="Q120" s="3">
        <v>7777777</v>
      </c>
      <c r="R120" s="3" t="s">
        <v>37</v>
      </c>
      <c r="S120" s="3"/>
      <c r="T120" s="3"/>
      <c r="U120" s="5" t="s">
        <v>38</v>
      </c>
      <c r="V120" s="3"/>
      <c r="W120" s="3" t="s">
        <v>60</v>
      </c>
      <c r="X120" s="3" t="s">
        <v>40</v>
      </c>
      <c r="Y120" s="3" t="s">
        <v>40</v>
      </c>
      <c r="Z120" s="3" t="s">
        <v>70</v>
      </c>
      <c r="AA120" s="3" t="s">
        <v>49</v>
      </c>
      <c r="AB120" s="3" t="s">
        <v>40</v>
      </c>
      <c r="AC120" t="str">
        <f>IFERROR(VLOOKUP(C120,MigradosEfectivamente!B:B,1,FALSE),"No encontrado")</f>
        <v>No encontrado</v>
      </c>
    </row>
    <row r="121" spans="1:29" ht="60" x14ac:dyDescent="0.25">
      <c r="A121" s="3" t="s">
        <v>521</v>
      </c>
      <c r="B121" s="3" t="s">
        <v>522</v>
      </c>
      <c r="C121" s="3">
        <v>1097731714</v>
      </c>
      <c r="D121" s="3" t="s">
        <v>104</v>
      </c>
      <c r="E121" s="3">
        <v>3104701768</v>
      </c>
      <c r="F121" s="3" t="s">
        <v>523</v>
      </c>
      <c r="G121" s="3">
        <v>99</v>
      </c>
      <c r="H121" s="3" t="s">
        <v>110</v>
      </c>
      <c r="I121" s="3" t="s">
        <v>82</v>
      </c>
      <c r="J121" s="3" t="s">
        <v>34</v>
      </c>
      <c r="K121" s="3"/>
      <c r="L121" s="3"/>
      <c r="M121" s="3"/>
      <c r="N121" s="3" t="s">
        <v>35</v>
      </c>
      <c r="O121" s="3" t="s">
        <v>83</v>
      </c>
      <c r="P121" s="4">
        <v>45924.337465277778</v>
      </c>
      <c r="Q121" s="3">
        <v>7777777</v>
      </c>
      <c r="R121" s="3" t="s">
        <v>37</v>
      </c>
      <c r="S121" s="3"/>
      <c r="T121" s="3"/>
      <c r="U121" s="5" t="s">
        <v>38</v>
      </c>
      <c r="V121" s="3"/>
      <c r="W121" s="3" t="s">
        <v>60</v>
      </c>
      <c r="X121" s="3" t="s">
        <v>41</v>
      </c>
      <c r="Y121" s="3" t="s">
        <v>41</v>
      </c>
      <c r="Z121" s="3" t="s">
        <v>42</v>
      </c>
      <c r="AA121" s="3" t="s">
        <v>49</v>
      </c>
      <c r="AB121" s="3" t="s">
        <v>40</v>
      </c>
      <c r="AC121" t="str">
        <f>IFERROR(VLOOKUP(C121,MigradosEfectivamente!B:B,1,FALSE),"No encontrado")</f>
        <v>No encontrado</v>
      </c>
    </row>
    <row r="122" spans="1:29" ht="60" x14ac:dyDescent="0.25">
      <c r="A122" s="3" t="s">
        <v>524</v>
      </c>
      <c r="B122" s="3" t="s">
        <v>525</v>
      </c>
      <c r="C122" s="3">
        <v>1097100219</v>
      </c>
      <c r="D122" s="3" t="s">
        <v>122</v>
      </c>
      <c r="E122" s="3">
        <v>3223003434</v>
      </c>
      <c r="F122" s="3" t="s">
        <v>526</v>
      </c>
      <c r="G122" s="3">
        <v>99</v>
      </c>
      <c r="H122" s="3" t="s">
        <v>32</v>
      </c>
      <c r="I122" s="3" t="s">
        <v>82</v>
      </c>
      <c r="J122" s="3" t="s">
        <v>34</v>
      </c>
      <c r="K122" s="3"/>
      <c r="L122" s="3"/>
      <c r="M122" s="3"/>
      <c r="N122" s="3" t="s">
        <v>35</v>
      </c>
      <c r="O122" s="3" t="s">
        <v>83</v>
      </c>
      <c r="P122" s="4">
        <v>45924.336608796293</v>
      </c>
      <c r="Q122" s="3">
        <v>7777777</v>
      </c>
      <c r="R122" s="3" t="s">
        <v>37</v>
      </c>
      <c r="S122" s="3"/>
      <c r="T122" s="3"/>
      <c r="U122" s="5" t="s">
        <v>38</v>
      </c>
      <c r="V122" s="3"/>
      <c r="W122" s="3" t="s">
        <v>60</v>
      </c>
      <c r="X122" s="3" t="s">
        <v>41</v>
      </c>
      <c r="Y122" s="3" t="s">
        <v>41</v>
      </c>
      <c r="Z122" s="3" t="s">
        <v>42</v>
      </c>
      <c r="AA122" s="3" t="s">
        <v>49</v>
      </c>
      <c r="AB122" s="3" t="s">
        <v>40</v>
      </c>
      <c r="AC122" t="str">
        <f>IFERROR(VLOOKUP(C122,MigradosEfectivamente!B:B,1,FALSE),"No encontrado")</f>
        <v>No encontrado</v>
      </c>
    </row>
    <row r="123" spans="1:29" ht="60" x14ac:dyDescent="0.25">
      <c r="A123" s="3" t="s">
        <v>527</v>
      </c>
      <c r="B123" s="3" t="s">
        <v>528</v>
      </c>
      <c r="C123" s="3">
        <v>1093804653</v>
      </c>
      <c r="D123" s="3" t="s">
        <v>529</v>
      </c>
      <c r="E123" s="3">
        <v>3112704644</v>
      </c>
      <c r="F123" s="3" t="s">
        <v>530</v>
      </c>
      <c r="G123" s="3">
        <v>89</v>
      </c>
      <c r="H123" s="3" t="s">
        <v>69</v>
      </c>
      <c r="I123" s="3" t="s">
        <v>82</v>
      </c>
      <c r="J123" s="3" t="s">
        <v>34</v>
      </c>
      <c r="K123" s="3"/>
      <c r="L123" s="3"/>
      <c r="M123" s="3"/>
      <c r="N123" s="3" t="s">
        <v>35</v>
      </c>
      <c r="O123" s="3" t="s">
        <v>36</v>
      </c>
      <c r="P123" s="4">
        <v>45924.336122685185</v>
      </c>
      <c r="Q123" s="3">
        <v>7777777</v>
      </c>
      <c r="R123" s="3" t="s">
        <v>37</v>
      </c>
      <c r="S123" s="3"/>
      <c r="T123" s="3"/>
      <c r="U123" s="5" t="s">
        <v>38</v>
      </c>
      <c r="V123" s="3"/>
      <c r="W123" s="3" t="s">
        <v>60</v>
      </c>
      <c r="X123" s="3" t="s">
        <v>41</v>
      </c>
      <c r="Y123" s="3" t="s">
        <v>41</v>
      </c>
      <c r="Z123" s="3" t="s">
        <v>42</v>
      </c>
      <c r="AA123" s="3" t="s">
        <v>49</v>
      </c>
      <c r="AB123" s="3" t="s">
        <v>40</v>
      </c>
      <c r="AC123" t="str">
        <f>IFERROR(VLOOKUP(C123,MigradosEfectivamente!B:B,1,FALSE),"No encontrado")</f>
        <v>No encontrado</v>
      </c>
    </row>
    <row r="124" spans="1:29" ht="60" x14ac:dyDescent="0.25">
      <c r="A124" s="3" t="s">
        <v>531</v>
      </c>
      <c r="B124" s="3" t="s">
        <v>532</v>
      </c>
      <c r="C124" s="3">
        <v>1090430899</v>
      </c>
      <c r="D124" s="3" t="s">
        <v>80</v>
      </c>
      <c r="E124" s="3">
        <v>3114412466</v>
      </c>
      <c r="F124" s="3" t="s">
        <v>533</v>
      </c>
      <c r="G124" s="3">
        <v>99</v>
      </c>
      <c r="H124" s="3" t="s">
        <v>69</v>
      </c>
      <c r="I124" s="3" t="s">
        <v>82</v>
      </c>
      <c r="J124" s="3" t="s">
        <v>34</v>
      </c>
      <c r="K124" s="3"/>
      <c r="L124" s="3"/>
      <c r="M124" s="3"/>
      <c r="N124" s="3" t="s">
        <v>35</v>
      </c>
      <c r="O124" s="3" t="s">
        <v>83</v>
      </c>
      <c r="P124" s="4">
        <v>45923.876516203702</v>
      </c>
      <c r="Q124" s="3">
        <v>7777777</v>
      </c>
      <c r="R124" s="3" t="s">
        <v>37</v>
      </c>
      <c r="S124" s="3"/>
      <c r="T124" s="3"/>
      <c r="U124" s="5" t="s">
        <v>38</v>
      </c>
      <c r="V124" s="3"/>
      <c r="W124" s="3" t="s">
        <v>60</v>
      </c>
      <c r="X124" s="3" t="s">
        <v>41</v>
      </c>
      <c r="Y124" s="3" t="s">
        <v>41</v>
      </c>
      <c r="Z124" s="3" t="s">
        <v>42</v>
      </c>
      <c r="AA124" s="3" t="s">
        <v>49</v>
      </c>
      <c r="AB124" s="3" t="s">
        <v>40</v>
      </c>
      <c r="AC124" t="str">
        <f>IFERROR(VLOOKUP(C124,MigradosEfectivamente!B:B,1,FALSE),"No encontrado")</f>
        <v>No encontrado</v>
      </c>
    </row>
    <row r="125" spans="1:29" ht="60" x14ac:dyDescent="0.25">
      <c r="A125" s="3" t="s">
        <v>534</v>
      </c>
      <c r="B125" s="3" t="s">
        <v>535</v>
      </c>
      <c r="C125" s="3">
        <v>1095312227</v>
      </c>
      <c r="D125" s="3" t="s">
        <v>108</v>
      </c>
      <c r="E125" s="3" t="s">
        <v>536</v>
      </c>
      <c r="F125" s="3" t="s">
        <v>537</v>
      </c>
      <c r="G125" s="3">
        <v>89</v>
      </c>
      <c r="H125" s="3" t="s">
        <v>54</v>
      </c>
      <c r="I125" s="3" t="s">
        <v>33</v>
      </c>
      <c r="J125" s="3" t="s">
        <v>34</v>
      </c>
      <c r="K125" s="3"/>
      <c r="L125" s="3"/>
      <c r="M125" s="3"/>
      <c r="N125" s="3" t="s">
        <v>35</v>
      </c>
      <c r="O125" s="3" t="s">
        <v>36</v>
      </c>
      <c r="P125" s="4">
        <v>45923.587314814817</v>
      </c>
      <c r="Q125" s="3">
        <v>7777777</v>
      </c>
      <c r="R125" s="3" t="s">
        <v>37</v>
      </c>
      <c r="S125" s="3"/>
      <c r="T125" s="3"/>
      <c r="U125" s="5" t="s">
        <v>38</v>
      </c>
      <c r="V125" s="3"/>
      <c r="W125" s="3" t="s">
        <v>60</v>
      </c>
      <c r="X125" s="3" t="s">
        <v>40</v>
      </c>
      <c r="Y125" s="3" t="s">
        <v>41</v>
      </c>
      <c r="Z125" s="3" t="s">
        <v>42</v>
      </c>
      <c r="AA125" s="3" t="s">
        <v>49</v>
      </c>
      <c r="AB125" s="3" t="s">
        <v>40</v>
      </c>
      <c r="AC125" t="str">
        <f>IFERROR(VLOOKUP(C125,MigradosEfectivamente!B:B,1,FALSE),"No encontrado")</f>
        <v>No encontrado</v>
      </c>
    </row>
    <row r="126" spans="1:29" ht="60" x14ac:dyDescent="0.25">
      <c r="A126" s="3" t="s">
        <v>538</v>
      </c>
      <c r="B126" s="3" t="s">
        <v>539</v>
      </c>
      <c r="C126" s="3">
        <v>1000885301</v>
      </c>
      <c r="D126" s="3" t="s">
        <v>122</v>
      </c>
      <c r="E126" s="3">
        <v>573126140232</v>
      </c>
      <c r="F126" s="3" t="s">
        <v>540</v>
      </c>
      <c r="G126" s="3">
        <v>89</v>
      </c>
      <c r="H126" s="3" t="s">
        <v>97</v>
      </c>
      <c r="I126" s="3" t="s">
        <v>33</v>
      </c>
      <c r="J126" s="3" t="s">
        <v>34</v>
      </c>
      <c r="K126" s="3"/>
      <c r="L126" s="3"/>
      <c r="M126" s="3"/>
      <c r="N126" s="3" t="s">
        <v>35</v>
      </c>
      <c r="O126" s="3" t="s">
        <v>36</v>
      </c>
      <c r="P126" s="4">
        <v>45923.336643518516</v>
      </c>
      <c r="Q126" s="3">
        <v>7777777</v>
      </c>
      <c r="R126" s="3" t="s">
        <v>37</v>
      </c>
      <c r="S126" s="3"/>
      <c r="T126" s="3"/>
      <c r="U126" s="5" t="s">
        <v>38</v>
      </c>
      <c r="V126" s="3"/>
      <c r="W126" s="3" t="s">
        <v>60</v>
      </c>
      <c r="X126" s="3" t="s">
        <v>41</v>
      </c>
      <c r="Y126" s="3" t="s">
        <v>41</v>
      </c>
      <c r="Z126" s="3" t="s">
        <v>70</v>
      </c>
      <c r="AA126" s="3" t="s">
        <v>49</v>
      </c>
      <c r="AB126" s="3" t="s">
        <v>40</v>
      </c>
      <c r="AC126" t="str">
        <f>IFERROR(VLOOKUP(C126,MigradosEfectivamente!B:B,1,FALSE),"No encontrado")</f>
        <v>No encontrado</v>
      </c>
    </row>
    <row r="127" spans="1:29" ht="60" x14ac:dyDescent="0.25">
      <c r="A127" s="3" t="s">
        <v>541</v>
      </c>
      <c r="B127" s="3" t="s">
        <v>542</v>
      </c>
      <c r="C127" s="3">
        <v>1093295605</v>
      </c>
      <c r="D127" s="3" t="s">
        <v>543</v>
      </c>
      <c r="E127" s="3">
        <v>3247560337</v>
      </c>
      <c r="F127" s="3" t="s">
        <v>544</v>
      </c>
      <c r="G127" s="3">
        <v>89</v>
      </c>
      <c r="H127" s="3" t="s">
        <v>69</v>
      </c>
      <c r="I127" s="3" t="s">
        <v>82</v>
      </c>
      <c r="J127" s="3" t="s">
        <v>34</v>
      </c>
      <c r="K127" s="3"/>
      <c r="L127" s="3"/>
      <c r="M127" s="3"/>
      <c r="N127" s="3" t="s">
        <v>35</v>
      </c>
      <c r="O127" s="3" t="s">
        <v>36</v>
      </c>
      <c r="P127" s="4">
        <v>45922.587650462963</v>
      </c>
      <c r="Q127" s="3">
        <v>7777777</v>
      </c>
      <c r="R127" s="3" t="s">
        <v>37</v>
      </c>
      <c r="S127" s="3"/>
      <c r="T127" s="3"/>
      <c r="U127" s="5" t="s">
        <v>38</v>
      </c>
      <c r="V127" s="3"/>
      <c r="W127" s="3" t="s">
        <v>60</v>
      </c>
      <c r="X127" s="3" t="s">
        <v>40</v>
      </c>
      <c r="Y127" s="3" t="s">
        <v>40</v>
      </c>
      <c r="Z127" s="3" t="s">
        <v>42</v>
      </c>
      <c r="AA127" s="3" t="s">
        <v>43</v>
      </c>
      <c r="AB127" s="3" t="s">
        <v>40</v>
      </c>
      <c r="AC127" t="str">
        <f>IFERROR(VLOOKUP(C127,MigradosEfectivamente!B:B,1,FALSE),"No encontrado")</f>
        <v>No encontrado</v>
      </c>
    </row>
    <row r="128" spans="1:29" ht="60" x14ac:dyDescent="0.25">
      <c r="A128" s="3" t="s">
        <v>545</v>
      </c>
      <c r="B128" s="3" t="s">
        <v>546</v>
      </c>
      <c r="C128" s="3">
        <v>1065569208</v>
      </c>
      <c r="D128" s="3" t="s">
        <v>547</v>
      </c>
      <c r="E128" s="3">
        <v>3004550807</v>
      </c>
      <c r="F128" s="3" t="s">
        <v>548</v>
      </c>
      <c r="G128" s="3">
        <v>99</v>
      </c>
      <c r="H128" s="3" t="s">
        <v>136</v>
      </c>
      <c r="I128" s="3" t="s">
        <v>82</v>
      </c>
      <c r="J128" s="3" t="s">
        <v>34</v>
      </c>
      <c r="K128" s="3"/>
      <c r="L128" s="3"/>
      <c r="M128" s="3"/>
      <c r="N128" s="3" t="s">
        <v>35</v>
      </c>
      <c r="O128" s="3" t="s">
        <v>83</v>
      </c>
      <c r="P128" s="4">
        <v>45922.338078703702</v>
      </c>
      <c r="Q128" s="3">
        <v>7777777</v>
      </c>
      <c r="R128" s="3" t="s">
        <v>37</v>
      </c>
      <c r="S128" s="3"/>
      <c r="T128" s="3"/>
      <c r="U128" s="5" t="s">
        <v>38</v>
      </c>
      <c r="V128" s="3"/>
      <c r="W128" s="3" t="s">
        <v>60</v>
      </c>
      <c r="X128" s="3" t="s">
        <v>41</v>
      </c>
      <c r="Y128" s="3" t="s">
        <v>41</v>
      </c>
      <c r="Z128" s="3" t="s">
        <v>42</v>
      </c>
      <c r="AA128" s="3" t="s">
        <v>49</v>
      </c>
      <c r="AB128" s="3" t="s">
        <v>40</v>
      </c>
      <c r="AC128" t="str">
        <f>IFERROR(VLOOKUP(C128,MigradosEfectivamente!B:B,1,FALSE),"No encontrado")</f>
        <v>No encontrado</v>
      </c>
    </row>
    <row r="129" spans="1:29" ht="60" x14ac:dyDescent="0.25">
      <c r="A129" s="3" t="s">
        <v>549</v>
      </c>
      <c r="B129" s="3" t="s">
        <v>550</v>
      </c>
      <c r="C129" s="3">
        <v>63496219</v>
      </c>
      <c r="D129" s="3" t="s">
        <v>80</v>
      </c>
      <c r="E129" s="3">
        <v>3016947804</v>
      </c>
      <c r="F129" s="3" t="s">
        <v>551</v>
      </c>
      <c r="G129" s="3">
        <v>89</v>
      </c>
      <c r="H129" s="3" t="s">
        <v>136</v>
      </c>
      <c r="I129" s="3" t="s">
        <v>33</v>
      </c>
      <c r="J129" s="3" t="s">
        <v>34</v>
      </c>
      <c r="K129" s="3"/>
      <c r="L129" s="3"/>
      <c r="M129" s="3"/>
      <c r="N129" s="3" t="s">
        <v>35</v>
      </c>
      <c r="O129" s="3" t="s">
        <v>36</v>
      </c>
      <c r="P129" s="4">
        <v>45922.336608796293</v>
      </c>
      <c r="Q129" s="3">
        <v>7777777</v>
      </c>
      <c r="R129" s="3" t="s">
        <v>37</v>
      </c>
      <c r="S129" s="3"/>
      <c r="T129" s="3"/>
      <c r="U129" s="5" t="s">
        <v>38</v>
      </c>
      <c r="V129" s="3"/>
      <c r="W129" s="3" t="s">
        <v>60</v>
      </c>
      <c r="X129" s="3" t="s">
        <v>41</v>
      </c>
      <c r="Y129" s="3" t="s">
        <v>41</v>
      </c>
      <c r="Z129" s="3" t="s">
        <v>42</v>
      </c>
      <c r="AA129" s="3" t="s">
        <v>49</v>
      </c>
      <c r="AB129" s="3" t="s">
        <v>40</v>
      </c>
      <c r="AC129" t="str">
        <f>IFERROR(VLOOKUP(C129,MigradosEfectivamente!B:B,1,FALSE),"No encontrado")</f>
        <v>No encontrado</v>
      </c>
    </row>
    <row r="130" spans="1:29" ht="60" x14ac:dyDescent="0.25">
      <c r="A130" s="3" t="s">
        <v>552</v>
      </c>
      <c r="B130" s="3" t="s">
        <v>553</v>
      </c>
      <c r="C130" s="3">
        <v>1122920027</v>
      </c>
      <c r="D130" s="3"/>
      <c r="E130" s="3">
        <v>3202929158</v>
      </c>
      <c r="F130" s="3" t="s">
        <v>554</v>
      </c>
      <c r="G130" s="3">
        <v>89</v>
      </c>
      <c r="H130" s="3" t="s">
        <v>69</v>
      </c>
      <c r="I130" s="3" t="s">
        <v>82</v>
      </c>
      <c r="J130" s="3" t="s">
        <v>34</v>
      </c>
      <c r="K130" s="3"/>
      <c r="L130" s="3"/>
      <c r="M130" s="3"/>
      <c r="N130" s="3" t="s">
        <v>35</v>
      </c>
      <c r="O130" s="3" t="s">
        <v>36</v>
      </c>
      <c r="P130" s="4">
        <v>45921.876064814816</v>
      </c>
      <c r="Q130" s="3">
        <v>7777777</v>
      </c>
      <c r="R130" s="3" t="s">
        <v>37</v>
      </c>
      <c r="S130" s="3"/>
      <c r="T130" s="3"/>
      <c r="U130" s="5" t="s">
        <v>38</v>
      </c>
      <c r="V130" s="3"/>
      <c r="W130" s="3" t="s">
        <v>60</v>
      </c>
      <c r="X130" s="3" t="s">
        <v>41</v>
      </c>
      <c r="Y130" s="3" t="s">
        <v>41</v>
      </c>
      <c r="Z130" s="3" t="s">
        <v>42</v>
      </c>
      <c r="AA130" s="3" t="s">
        <v>49</v>
      </c>
      <c r="AB130" s="3" t="s">
        <v>40</v>
      </c>
      <c r="AC130" t="str">
        <f>IFERROR(VLOOKUP(C130,MigradosEfectivamente!B:B,1,FALSE),"No encontrado")</f>
        <v>No encontrado</v>
      </c>
    </row>
    <row r="131" spans="1:29" ht="45" x14ac:dyDescent="0.25">
      <c r="A131" s="3" t="s">
        <v>555</v>
      </c>
      <c r="B131" s="3" t="s">
        <v>556</v>
      </c>
      <c r="C131" s="3">
        <v>1076740438</v>
      </c>
      <c r="D131" s="3" t="s">
        <v>557</v>
      </c>
      <c r="E131" s="3">
        <v>3197127878</v>
      </c>
      <c r="F131" s="3" t="s">
        <v>558</v>
      </c>
      <c r="G131" s="3">
        <v>89</v>
      </c>
      <c r="H131" s="3" t="s">
        <v>69</v>
      </c>
      <c r="I131" s="3" t="s">
        <v>33</v>
      </c>
      <c r="J131" s="3" t="s">
        <v>34</v>
      </c>
      <c r="K131" s="3"/>
      <c r="L131" s="3"/>
      <c r="M131" s="3"/>
      <c r="N131" s="3" t="s">
        <v>35</v>
      </c>
      <c r="O131" s="3" t="s">
        <v>36</v>
      </c>
      <c r="P131" s="4">
        <v>45921.602199074077</v>
      </c>
      <c r="Q131" s="3">
        <v>7777777</v>
      </c>
      <c r="R131" s="3" t="s">
        <v>37</v>
      </c>
      <c r="S131" s="3"/>
      <c r="T131" s="3"/>
      <c r="U131" s="5" t="s">
        <v>38</v>
      </c>
      <c r="V131" s="3"/>
      <c r="W131" s="3" t="s">
        <v>39</v>
      </c>
      <c r="X131" s="3" t="s">
        <v>40</v>
      </c>
      <c r="Y131" s="3" t="s">
        <v>40</v>
      </c>
      <c r="Z131" s="3" t="s">
        <v>70</v>
      </c>
      <c r="AA131" s="3" t="s">
        <v>49</v>
      </c>
      <c r="AB131" s="3" t="s">
        <v>41</v>
      </c>
      <c r="AC131" t="str">
        <f>IFERROR(VLOOKUP(C131,MigradosEfectivamente!B:B,1,FALSE),"No encontrado")</f>
        <v>No encontrado</v>
      </c>
    </row>
    <row r="132" spans="1:29" ht="60" x14ac:dyDescent="0.25">
      <c r="A132" s="3">
        <v>23412</v>
      </c>
      <c r="B132" s="3" t="s">
        <v>559</v>
      </c>
      <c r="C132" s="3">
        <v>1005210899</v>
      </c>
      <c r="D132" s="3" t="s">
        <v>560</v>
      </c>
      <c r="E132" s="3" t="s">
        <v>561</v>
      </c>
      <c r="F132" s="3" t="s">
        <v>562</v>
      </c>
      <c r="G132" s="3">
        <v>99</v>
      </c>
      <c r="H132" s="3" t="s">
        <v>269</v>
      </c>
      <c r="I132" s="3" t="s">
        <v>82</v>
      </c>
      <c r="J132" s="3" t="s">
        <v>34</v>
      </c>
      <c r="K132" s="3"/>
      <c r="L132" s="3"/>
      <c r="M132" s="3"/>
      <c r="N132" s="3" t="s">
        <v>35</v>
      </c>
      <c r="O132" s="3" t="s">
        <v>83</v>
      </c>
      <c r="P132" s="4">
        <v>45921.583854166667</v>
      </c>
      <c r="Q132" s="3">
        <v>7777777</v>
      </c>
      <c r="R132" s="3" t="s">
        <v>37</v>
      </c>
      <c r="S132" s="3"/>
      <c r="T132" s="3"/>
      <c r="U132" s="5" t="s">
        <v>38</v>
      </c>
      <c r="V132" s="3"/>
      <c r="W132" s="3" t="s">
        <v>60</v>
      </c>
      <c r="X132" s="3" t="s">
        <v>40</v>
      </c>
      <c r="Y132" s="3" t="s">
        <v>41</v>
      </c>
      <c r="Z132" s="3" t="s">
        <v>42</v>
      </c>
      <c r="AA132" s="3" t="s">
        <v>49</v>
      </c>
      <c r="AB132" s="3" t="s">
        <v>40</v>
      </c>
      <c r="AC132" t="str">
        <f>IFERROR(VLOOKUP(C132,MigradosEfectivamente!B:B,1,FALSE),"No encontrado")</f>
        <v>No encontrado</v>
      </c>
    </row>
    <row r="133" spans="1:29" ht="60" x14ac:dyDescent="0.25">
      <c r="A133" s="3" t="s">
        <v>563</v>
      </c>
      <c r="B133" s="3" t="s">
        <v>564</v>
      </c>
      <c r="C133" s="3">
        <v>1000521433</v>
      </c>
      <c r="D133" s="3" t="s">
        <v>169</v>
      </c>
      <c r="E133" s="3" t="s">
        <v>565</v>
      </c>
      <c r="F133" s="3" t="s">
        <v>566</v>
      </c>
      <c r="G133" s="3">
        <v>89</v>
      </c>
      <c r="H133" s="3" t="s">
        <v>110</v>
      </c>
      <c r="I133" s="3" t="s">
        <v>567</v>
      </c>
      <c r="J133" s="3" t="s">
        <v>34</v>
      </c>
      <c r="K133" s="3"/>
      <c r="L133" s="3"/>
      <c r="M133" s="3"/>
      <c r="N133" s="3" t="s">
        <v>35</v>
      </c>
      <c r="O133" s="3" t="s">
        <v>36</v>
      </c>
      <c r="P133" s="4">
        <v>45921.583518518521</v>
      </c>
      <c r="Q133" s="3">
        <v>7777777</v>
      </c>
      <c r="R133" s="3" t="s">
        <v>37</v>
      </c>
      <c r="S133" s="3"/>
      <c r="T133" s="3"/>
      <c r="U133" s="5" t="s">
        <v>38</v>
      </c>
      <c r="V133" s="3"/>
      <c r="W133" s="3" t="s">
        <v>60</v>
      </c>
      <c r="X133" s="3" t="s">
        <v>40</v>
      </c>
      <c r="Y133" s="3" t="s">
        <v>41</v>
      </c>
      <c r="Z133" s="3" t="s">
        <v>42</v>
      </c>
      <c r="AA133" s="3" t="s">
        <v>49</v>
      </c>
      <c r="AB133" s="3" t="s">
        <v>40</v>
      </c>
      <c r="AC133" t="str">
        <f>IFERROR(VLOOKUP(C133,MigradosEfectivamente!B:B,1,FALSE),"No encontrado")</f>
        <v>No encontrado</v>
      </c>
    </row>
    <row r="134" spans="1:29" ht="60" x14ac:dyDescent="0.25">
      <c r="A134" s="3" t="s">
        <v>568</v>
      </c>
      <c r="B134" s="3" t="s">
        <v>569</v>
      </c>
      <c r="C134" s="3">
        <v>37541498</v>
      </c>
      <c r="D134" s="3" t="s">
        <v>570</v>
      </c>
      <c r="E134" s="3">
        <v>3025417930</v>
      </c>
      <c r="F134" s="3" t="s">
        <v>571</v>
      </c>
      <c r="G134" s="3">
        <v>89</v>
      </c>
      <c r="H134" s="3" t="s">
        <v>97</v>
      </c>
      <c r="I134" s="3" t="s">
        <v>82</v>
      </c>
      <c r="J134" s="3" t="s">
        <v>34</v>
      </c>
      <c r="K134" s="3"/>
      <c r="L134" s="3"/>
      <c r="M134" s="3"/>
      <c r="N134" s="3" t="s">
        <v>35</v>
      </c>
      <c r="O134" s="3" t="s">
        <v>36</v>
      </c>
      <c r="P134" s="4">
        <v>45921.339155092595</v>
      </c>
      <c r="Q134" s="3">
        <v>7777777</v>
      </c>
      <c r="R134" s="3" t="s">
        <v>37</v>
      </c>
      <c r="S134" s="3"/>
      <c r="T134" s="3"/>
      <c r="U134" s="5" t="s">
        <v>38</v>
      </c>
      <c r="V134" s="3"/>
      <c r="W134" s="3" t="s">
        <v>60</v>
      </c>
      <c r="X134" s="3" t="s">
        <v>40</v>
      </c>
      <c r="Y134" s="3" t="s">
        <v>40</v>
      </c>
      <c r="Z134" s="3" t="s">
        <v>42</v>
      </c>
      <c r="AA134" s="3" t="s">
        <v>49</v>
      </c>
      <c r="AB134" s="3" t="s">
        <v>40</v>
      </c>
      <c r="AC134" t="str">
        <f>IFERROR(VLOOKUP(C134,MigradosEfectivamente!B:B,1,FALSE),"No encontrado")</f>
        <v>No encontrado</v>
      </c>
    </row>
    <row r="135" spans="1:29" ht="60" x14ac:dyDescent="0.25">
      <c r="A135" s="3" t="s">
        <v>572</v>
      </c>
      <c r="B135" s="3" t="s">
        <v>573</v>
      </c>
      <c r="C135" s="3">
        <v>1119390787</v>
      </c>
      <c r="D135" s="3" t="s">
        <v>574</v>
      </c>
      <c r="E135" s="3">
        <v>3028359032</v>
      </c>
      <c r="F135" s="3" t="s">
        <v>575</v>
      </c>
      <c r="G135" s="3">
        <v>89</v>
      </c>
      <c r="H135" s="3" t="s">
        <v>110</v>
      </c>
      <c r="I135" s="3" t="s">
        <v>33</v>
      </c>
      <c r="J135" s="3" t="s">
        <v>34</v>
      </c>
      <c r="K135" s="3"/>
      <c r="L135" s="3"/>
      <c r="M135" s="3"/>
      <c r="N135" s="3" t="s">
        <v>35</v>
      </c>
      <c r="O135" s="3" t="s">
        <v>36</v>
      </c>
      <c r="P135" s="4">
        <v>45921.334305555552</v>
      </c>
      <c r="Q135" s="3">
        <v>7777777</v>
      </c>
      <c r="R135" s="3" t="s">
        <v>37</v>
      </c>
      <c r="S135" s="3"/>
      <c r="T135" s="3"/>
      <c r="U135" s="5" t="s">
        <v>38</v>
      </c>
      <c r="V135" s="3"/>
      <c r="W135" s="3" t="s">
        <v>60</v>
      </c>
      <c r="X135" s="3" t="s">
        <v>40</v>
      </c>
      <c r="Y135" s="3" t="s">
        <v>41</v>
      </c>
      <c r="Z135" s="3" t="s">
        <v>42</v>
      </c>
      <c r="AA135" s="3" t="s">
        <v>49</v>
      </c>
      <c r="AB135" s="3" t="s">
        <v>40</v>
      </c>
      <c r="AC135" t="str">
        <f>IFERROR(VLOOKUP(C135,MigradosEfectivamente!B:B,1,FALSE),"No encontrado")</f>
        <v>No encontrado</v>
      </c>
    </row>
    <row r="136" spans="1:29" ht="60" x14ac:dyDescent="0.25">
      <c r="A136" s="3" t="s">
        <v>576</v>
      </c>
      <c r="B136" s="3" t="s">
        <v>577</v>
      </c>
      <c r="C136" s="3">
        <v>1097094990</v>
      </c>
      <c r="D136" s="3" t="s">
        <v>108</v>
      </c>
      <c r="E136" s="3">
        <v>3223564886</v>
      </c>
      <c r="F136" s="3" t="s">
        <v>578</v>
      </c>
      <c r="G136" s="3">
        <v>89</v>
      </c>
      <c r="H136" s="3" t="s">
        <v>32</v>
      </c>
      <c r="I136" s="3" t="s">
        <v>33</v>
      </c>
      <c r="J136" s="3" t="s">
        <v>34</v>
      </c>
      <c r="K136" s="3"/>
      <c r="L136" s="3"/>
      <c r="M136" s="3"/>
      <c r="N136" s="3" t="s">
        <v>35</v>
      </c>
      <c r="O136" s="3" t="s">
        <v>36</v>
      </c>
      <c r="P136" s="4">
        <v>45920.584837962961</v>
      </c>
      <c r="Q136" s="3">
        <v>7777777</v>
      </c>
      <c r="R136" s="3" t="s">
        <v>37</v>
      </c>
      <c r="S136" s="3"/>
      <c r="T136" s="3"/>
      <c r="U136" s="5" t="s">
        <v>38</v>
      </c>
      <c r="V136" s="3"/>
      <c r="W136" s="3" t="s">
        <v>60</v>
      </c>
      <c r="X136" s="3" t="s">
        <v>40</v>
      </c>
      <c r="Y136" s="3" t="s">
        <v>41</v>
      </c>
      <c r="Z136" s="3" t="s">
        <v>42</v>
      </c>
      <c r="AA136" s="3" t="s">
        <v>49</v>
      </c>
      <c r="AB136" s="3" t="s">
        <v>40</v>
      </c>
      <c r="AC136" t="str">
        <f>IFERROR(VLOOKUP(C136,MigradosEfectivamente!B:B,1,FALSE),"No encontrado")</f>
        <v>No encontrado</v>
      </c>
    </row>
    <row r="137" spans="1:29" ht="60" x14ac:dyDescent="0.25">
      <c r="A137" s="3" t="s">
        <v>579</v>
      </c>
      <c r="B137" s="3" t="s">
        <v>580</v>
      </c>
      <c r="C137" s="3">
        <v>1098682492</v>
      </c>
      <c r="D137" s="3" t="s">
        <v>581</v>
      </c>
      <c r="E137" s="3">
        <v>3164353062</v>
      </c>
      <c r="F137" s="3" t="s">
        <v>582</v>
      </c>
      <c r="G137" s="3">
        <v>89</v>
      </c>
      <c r="H137" s="3" t="s">
        <v>54</v>
      </c>
      <c r="I137" s="3" t="s">
        <v>33</v>
      </c>
      <c r="J137" s="3" t="s">
        <v>34</v>
      </c>
      <c r="K137" s="3"/>
      <c r="L137" s="3"/>
      <c r="M137" s="3"/>
      <c r="N137" s="3" t="s">
        <v>35</v>
      </c>
      <c r="O137" s="3" t="s">
        <v>36</v>
      </c>
      <c r="P137" s="4">
        <v>45920.584016203706</v>
      </c>
      <c r="Q137" s="3">
        <v>7777777</v>
      </c>
      <c r="R137" s="3" t="s">
        <v>37</v>
      </c>
      <c r="S137" s="3"/>
      <c r="T137" s="3"/>
      <c r="U137" s="5" t="s">
        <v>38</v>
      </c>
      <c r="V137" s="3"/>
      <c r="W137" s="3" t="s">
        <v>60</v>
      </c>
      <c r="X137" s="3" t="s">
        <v>40</v>
      </c>
      <c r="Y137" s="3" t="s">
        <v>41</v>
      </c>
      <c r="Z137" s="3" t="s">
        <v>42</v>
      </c>
      <c r="AA137" s="3" t="s">
        <v>49</v>
      </c>
      <c r="AB137" s="3" t="s">
        <v>40</v>
      </c>
      <c r="AC137">
        <f>IFERROR(VLOOKUP(C137,MigradosEfectivamente!B:B,1,FALSE),"No encontrado")</f>
        <v>1098682492</v>
      </c>
    </row>
    <row r="138" spans="1:29" ht="60" x14ac:dyDescent="0.25">
      <c r="A138" s="3" t="s">
        <v>583</v>
      </c>
      <c r="B138" s="3" t="s">
        <v>584</v>
      </c>
      <c r="C138" s="3">
        <v>1102357474</v>
      </c>
      <c r="D138" s="3" t="s">
        <v>585</v>
      </c>
      <c r="E138" s="3" t="s">
        <v>586</v>
      </c>
      <c r="F138" s="3" t="s">
        <v>587</v>
      </c>
      <c r="G138" s="3">
        <v>89</v>
      </c>
      <c r="H138" s="3" t="s">
        <v>59</v>
      </c>
      <c r="I138" s="3" t="s">
        <v>33</v>
      </c>
      <c r="J138" s="3" t="s">
        <v>34</v>
      </c>
      <c r="K138" s="3"/>
      <c r="L138" s="3"/>
      <c r="M138" s="3"/>
      <c r="N138" s="3" t="s">
        <v>35</v>
      </c>
      <c r="O138" s="3" t="s">
        <v>36</v>
      </c>
      <c r="P138" s="4">
        <v>45920.338865740741</v>
      </c>
      <c r="Q138" s="3">
        <v>7777777</v>
      </c>
      <c r="R138" s="3" t="s">
        <v>37</v>
      </c>
      <c r="S138" s="3"/>
      <c r="T138" s="3"/>
      <c r="U138" s="5" t="s">
        <v>38</v>
      </c>
      <c r="V138" s="3"/>
      <c r="W138" s="3" t="s">
        <v>60</v>
      </c>
      <c r="X138" s="3" t="s">
        <v>41</v>
      </c>
      <c r="Y138" s="3" t="s">
        <v>41</v>
      </c>
      <c r="Z138" s="3" t="s">
        <v>42</v>
      </c>
      <c r="AA138" s="3" t="s">
        <v>49</v>
      </c>
      <c r="AB138" s="3" t="s">
        <v>40</v>
      </c>
      <c r="AC138" t="str">
        <f>IFERROR(VLOOKUP(C138,MigradosEfectivamente!B:B,1,FALSE),"No encontrado")</f>
        <v>No encontrado</v>
      </c>
    </row>
    <row r="139" spans="1:29" ht="60" x14ac:dyDescent="0.25">
      <c r="A139" s="3" t="s">
        <v>588</v>
      </c>
      <c r="B139" s="3" t="s">
        <v>589</v>
      </c>
      <c r="C139" s="3">
        <v>5243266</v>
      </c>
      <c r="D139" s="3" t="s">
        <v>590</v>
      </c>
      <c r="E139" s="3">
        <v>3219037848</v>
      </c>
      <c r="F139" s="3" t="s">
        <v>591</v>
      </c>
      <c r="G139" s="3">
        <v>89</v>
      </c>
      <c r="H139" s="3" t="s">
        <v>136</v>
      </c>
      <c r="I139" s="3" t="s">
        <v>33</v>
      </c>
      <c r="J139" s="3" t="s">
        <v>34</v>
      </c>
      <c r="K139" s="3"/>
      <c r="L139" s="3"/>
      <c r="M139" s="3"/>
      <c r="N139" s="3" t="s">
        <v>35</v>
      </c>
      <c r="O139" s="3" t="s">
        <v>36</v>
      </c>
      <c r="P139" s="4">
        <v>45920.338750000003</v>
      </c>
      <c r="Q139" s="3">
        <v>7777777</v>
      </c>
      <c r="R139" s="3" t="s">
        <v>37</v>
      </c>
      <c r="S139" s="3"/>
      <c r="T139" s="3"/>
      <c r="U139" s="5" t="s">
        <v>38</v>
      </c>
      <c r="V139" s="3"/>
      <c r="W139" s="3" t="s">
        <v>60</v>
      </c>
      <c r="X139" s="3" t="s">
        <v>40</v>
      </c>
      <c r="Y139" s="3" t="s">
        <v>41</v>
      </c>
      <c r="Z139" s="3" t="s">
        <v>70</v>
      </c>
      <c r="AA139" s="3" t="s">
        <v>49</v>
      </c>
      <c r="AB139" s="3" t="s">
        <v>40</v>
      </c>
      <c r="AC139" t="str">
        <f>IFERROR(VLOOKUP(C139,MigradosEfectivamente!B:B,1,FALSE),"No encontrado")</f>
        <v>No encontrado</v>
      </c>
    </row>
    <row r="140" spans="1:29" ht="60" x14ac:dyDescent="0.25">
      <c r="A140" s="3" t="s">
        <v>592</v>
      </c>
      <c r="B140" s="3" t="s">
        <v>593</v>
      </c>
      <c r="C140" s="3">
        <v>1102352304</v>
      </c>
      <c r="D140" s="3" t="s">
        <v>594</v>
      </c>
      <c r="E140" s="3">
        <v>3112503297</v>
      </c>
      <c r="F140" s="3" t="s">
        <v>595</v>
      </c>
      <c r="G140" s="3">
        <v>89</v>
      </c>
      <c r="H140" s="3" t="s">
        <v>59</v>
      </c>
      <c r="I140" s="3" t="s">
        <v>33</v>
      </c>
      <c r="J140" s="3" t="s">
        <v>34</v>
      </c>
      <c r="K140" s="3"/>
      <c r="L140" s="3"/>
      <c r="M140" s="3"/>
      <c r="N140" s="3" t="s">
        <v>35</v>
      </c>
      <c r="O140" s="3" t="s">
        <v>36</v>
      </c>
      <c r="P140" s="4">
        <v>45920.33829861111</v>
      </c>
      <c r="Q140" s="3">
        <v>7777777</v>
      </c>
      <c r="R140" s="3" t="s">
        <v>37</v>
      </c>
      <c r="S140" s="3"/>
      <c r="T140" s="3"/>
      <c r="U140" s="5" t="s">
        <v>38</v>
      </c>
      <c r="V140" s="3"/>
      <c r="W140" s="3" t="s">
        <v>60</v>
      </c>
      <c r="X140" s="3" t="s">
        <v>41</v>
      </c>
      <c r="Y140" s="3" t="s">
        <v>41</v>
      </c>
      <c r="Z140" s="3" t="s">
        <v>42</v>
      </c>
      <c r="AA140" s="3" t="s">
        <v>49</v>
      </c>
      <c r="AB140" s="3" t="s">
        <v>40</v>
      </c>
      <c r="AC140" t="str">
        <f>IFERROR(VLOOKUP(C140,MigradosEfectivamente!B:B,1,FALSE),"No encontrado")</f>
        <v>No encontrado</v>
      </c>
    </row>
    <row r="141" spans="1:29" ht="60" x14ac:dyDescent="0.25">
      <c r="A141" s="3" t="s">
        <v>596</v>
      </c>
      <c r="B141" s="3" t="s">
        <v>597</v>
      </c>
      <c r="C141" s="3">
        <v>63543253</v>
      </c>
      <c r="D141" s="3" t="s">
        <v>598</v>
      </c>
      <c r="E141" s="3">
        <v>3106138743</v>
      </c>
      <c r="F141" s="3" t="s">
        <v>599</v>
      </c>
      <c r="G141" s="3">
        <v>89</v>
      </c>
      <c r="H141" s="3" t="s">
        <v>54</v>
      </c>
      <c r="I141" s="3" t="s">
        <v>33</v>
      </c>
      <c r="J141" s="3" t="s">
        <v>34</v>
      </c>
      <c r="K141" s="3"/>
      <c r="L141" s="3"/>
      <c r="M141" s="3"/>
      <c r="N141" s="3" t="s">
        <v>35</v>
      </c>
      <c r="O141" s="3" t="s">
        <v>36</v>
      </c>
      <c r="P141" s="4">
        <v>45920.337002314816</v>
      </c>
      <c r="Q141" s="3">
        <v>7777777</v>
      </c>
      <c r="R141" s="3" t="s">
        <v>37</v>
      </c>
      <c r="S141" s="3"/>
      <c r="T141" s="3"/>
      <c r="U141" s="5" t="s">
        <v>38</v>
      </c>
      <c r="V141" s="3"/>
      <c r="W141" s="3" t="s">
        <v>60</v>
      </c>
      <c r="X141" s="3" t="s">
        <v>40</v>
      </c>
      <c r="Y141" s="3" t="s">
        <v>41</v>
      </c>
      <c r="Z141" s="3" t="s">
        <v>70</v>
      </c>
      <c r="AA141" s="3" t="s">
        <v>49</v>
      </c>
      <c r="AB141" s="3" t="s">
        <v>40</v>
      </c>
      <c r="AC141" t="str">
        <f>IFERROR(VLOOKUP(C141,MigradosEfectivamente!B:B,1,FALSE),"No encontrado")</f>
        <v>No encontrado</v>
      </c>
    </row>
    <row r="142" spans="1:29" ht="45" x14ac:dyDescent="0.25">
      <c r="A142" s="3" t="s">
        <v>600</v>
      </c>
      <c r="B142" s="3" t="s">
        <v>601</v>
      </c>
      <c r="C142" s="3">
        <v>1093793588</v>
      </c>
      <c r="D142" s="3" t="s">
        <v>602</v>
      </c>
      <c r="E142" s="3" t="s">
        <v>603</v>
      </c>
      <c r="F142" s="3" t="s">
        <v>604</v>
      </c>
      <c r="G142" s="3">
        <v>89</v>
      </c>
      <c r="H142" s="3" t="s">
        <v>69</v>
      </c>
      <c r="I142" s="3" t="s">
        <v>33</v>
      </c>
      <c r="J142" s="3" t="s">
        <v>34</v>
      </c>
      <c r="K142" s="3"/>
      <c r="L142" s="3"/>
      <c r="M142" s="3"/>
      <c r="N142" s="3" t="s">
        <v>35</v>
      </c>
      <c r="O142" s="3" t="s">
        <v>36</v>
      </c>
      <c r="P142" s="4">
        <v>45920.327106481483</v>
      </c>
      <c r="Q142" s="3">
        <v>7777777</v>
      </c>
      <c r="R142" s="3" t="s">
        <v>37</v>
      </c>
      <c r="S142" s="3"/>
      <c r="T142" s="3"/>
      <c r="U142" s="5" t="s">
        <v>38</v>
      </c>
      <c r="V142" s="3"/>
      <c r="W142" s="3" t="s">
        <v>39</v>
      </c>
      <c r="X142" s="3" t="s">
        <v>40</v>
      </c>
      <c r="Y142" s="3" t="s">
        <v>41</v>
      </c>
      <c r="Z142" s="3" t="s">
        <v>42</v>
      </c>
      <c r="AA142" s="3" t="s">
        <v>49</v>
      </c>
      <c r="AB142" s="3" t="s">
        <v>40</v>
      </c>
      <c r="AC142" t="str">
        <f>IFERROR(VLOOKUP(C142,MigradosEfectivamente!B:B,1,FALSE),"No encontrado")</f>
        <v>No encontrado</v>
      </c>
    </row>
    <row r="143" spans="1:29" ht="60" x14ac:dyDescent="0.25">
      <c r="A143" s="3" t="s">
        <v>605</v>
      </c>
      <c r="B143" s="3" t="s">
        <v>606</v>
      </c>
      <c r="C143" s="3">
        <v>37751033</v>
      </c>
      <c r="D143" s="3" t="s">
        <v>607</v>
      </c>
      <c r="E143" s="3">
        <v>3115942225</v>
      </c>
      <c r="F143" s="3" t="s">
        <v>608</v>
      </c>
      <c r="G143" s="3">
        <v>89</v>
      </c>
      <c r="H143" s="3" t="s">
        <v>97</v>
      </c>
      <c r="I143" s="3" t="s">
        <v>33</v>
      </c>
      <c r="J143" s="3" t="s">
        <v>34</v>
      </c>
      <c r="K143" s="3"/>
      <c r="L143" s="3"/>
      <c r="M143" s="3"/>
      <c r="N143" s="3" t="s">
        <v>35</v>
      </c>
      <c r="O143" s="3" t="s">
        <v>36</v>
      </c>
      <c r="P143" s="4">
        <v>45919.881122685183</v>
      </c>
      <c r="Q143" s="3">
        <v>7777777</v>
      </c>
      <c r="R143" s="3" t="s">
        <v>37</v>
      </c>
      <c r="S143" s="3"/>
      <c r="T143" s="3"/>
      <c r="U143" s="5" t="s">
        <v>38</v>
      </c>
      <c r="V143" s="3"/>
      <c r="W143" s="3" t="s">
        <v>60</v>
      </c>
      <c r="X143" s="3" t="s">
        <v>40</v>
      </c>
      <c r="Y143" s="3" t="s">
        <v>41</v>
      </c>
      <c r="Z143" s="3" t="s">
        <v>42</v>
      </c>
      <c r="AA143" s="3" t="s">
        <v>49</v>
      </c>
      <c r="AB143" s="3" t="s">
        <v>40</v>
      </c>
      <c r="AC143" t="str">
        <f>IFERROR(VLOOKUP(C143,MigradosEfectivamente!B:B,1,FALSE),"No encontrado")</f>
        <v>No encontrado</v>
      </c>
    </row>
    <row r="144" spans="1:29" ht="60" x14ac:dyDescent="0.25">
      <c r="A144" s="3" t="s">
        <v>609</v>
      </c>
      <c r="B144" s="3" t="s">
        <v>610</v>
      </c>
      <c r="C144" s="3">
        <v>1092529466</v>
      </c>
      <c r="D144" s="3" t="s">
        <v>611</v>
      </c>
      <c r="E144" s="3">
        <v>3155327799</v>
      </c>
      <c r="F144" s="3" t="s">
        <v>612</v>
      </c>
      <c r="G144" s="3">
        <v>89</v>
      </c>
      <c r="H144" s="3" t="s">
        <v>136</v>
      </c>
      <c r="I144" s="3" t="s">
        <v>33</v>
      </c>
      <c r="J144" s="3" t="s">
        <v>34</v>
      </c>
      <c r="K144" s="3"/>
      <c r="L144" s="3"/>
      <c r="M144" s="3"/>
      <c r="N144" s="3" t="s">
        <v>35</v>
      </c>
      <c r="O144" s="3" t="s">
        <v>36</v>
      </c>
      <c r="P144" s="4">
        <v>45919.877627314818</v>
      </c>
      <c r="Q144" s="3">
        <v>7777777</v>
      </c>
      <c r="R144" s="3" t="s">
        <v>37</v>
      </c>
      <c r="S144" s="3"/>
      <c r="T144" s="3"/>
      <c r="U144" s="5" t="s">
        <v>38</v>
      </c>
      <c r="V144" s="3"/>
      <c r="W144" s="3" t="s">
        <v>60</v>
      </c>
      <c r="X144" s="3" t="s">
        <v>40</v>
      </c>
      <c r="Y144" s="3" t="s">
        <v>41</v>
      </c>
      <c r="Z144" s="3" t="s">
        <v>70</v>
      </c>
      <c r="AA144" s="3" t="s">
        <v>49</v>
      </c>
      <c r="AB144" s="3" t="s">
        <v>40</v>
      </c>
      <c r="AC144" t="str">
        <f>IFERROR(VLOOKUP(C144,MigradosEfectivamente!B:B,1,FALSE),"No encontrado")</f>
        <v>No encontrado</v>
      </c>
    </row>
    <row r="145" spans="1:29" ht="60" x14ac:dyDescent="0.25">
      <c r="A145" s="3" t="s">
        <v>613</v>
      </c>
      <c r="B145" s="3" t="s">
        <v>614</v>
      </c>
      <c r="C145" s="3">
        <v>31034351</v>
      </c>
      <c r="D145" s="3" t="s">
        <v>615</v>
      </c>
      <c r="E145" s="3">
        <v>3015969423</v>
      </c>
      <c r="F145" s="3" t="s">
        <v>616</v>
      </c>
      <c r="G145" s="3">
        <v>89</v>
      </c>
      <c r="H145" s="3" t="s">
        <v>32</v>
      </c>
      <c r="I145" s="3" t="s">
        <v>33</v>
      </c>
      <c r="J145" s="3" t="s">
        <v>34</v>
      </c>
      <c r="K145" s="3"/>
      <c r="L145" s="3"/>
      <c r="M145" s="3"/>
      <c r="N145" s="3" t="s">
        <v>35</v>
      </c>
      <c r="O145" s="3" t="s">
        <v>36</v>
      </c>
      <c r="P145" s="4">
        <v>45919.877511574072</v>
      </c>
      <c r="Q145" s="3">
        <v>7777777</v>
      </c>
      <c r="R145" s="3" t="s">
        <v>37</v>
      </c>
      <c r="S145" s="3"/>
      <c r="T145" s="3"/>
      <c r="U145" s="5" t="s">
        <v>38</v>
      </c>
      <c r="V145" s="3"/>
      <c r="W145" s="3" t="s">
        <v>60</v>
      </c>
      <c r="X145" s="3" t="s">
        <v>40</v>
      </c>
      <c r="Y145" s="3" t="s">
        <v>41</v>
      </c>
      <c r="Z145" s="3" t="s">
        <v>70</v>
      </c>
      <c r="AA145" s="3" t="s">
        <v>49</v>
      </c>
      <c r="AB145" s="3" t="s">
        <v>40</v>
      </c>
      <c r="AC145" t="str">
        <f>IFERROR(VLOOKUP(C145,MigradosEfectivamente!B:B,1,FALSE),"No encontrado")</f>
        <v>No encontrado</v>
      </c>
    </row>
    <row r="146" spans="1:29" ht="60" x14ac:dyDescent="0.25">
      <c r="A146" s="3" t="s">
        <v>617</v>
      </c>
      <c r="B146" s="3" t="s">
        <v>618</v>
      </c>
      <c r="C146" s="3">
        <v>1090362188</v>
      </c>
      <c r="D146" s="3" t="s">
        <v>619</v>
      </c>
      <c r="E146" s="3">
        <v>3208708491</v>
      </c>
      <c r="F146" s="3" t="s">
        <v>620</v>
      </c>
      <c r="G146" s="3">
        <v>89</v>
      </c>
      <c r="H146" s="3" t="s">
        <v>59</v>
      </c>
      <c r="I146" s="3" t="s">
        <v>33</v>
      </c>
      <c r="J146" s="3" t="s">
        <v>34</v>
      </c>
      <c r="K146" s="3"/>
      <c r="L146" s="3"/>
      <c r="M146" s="3"/>
      <c r="N146" s="3" t="s">
        <v>35</v>
      </c>
      <c r="O146" s="3" t="s">
        <v>36</v>
      </c>
      <c r="P146" s="4">
        <v>45919.877465277779</v>
      </c>
      <c r="Q146" s="3">
        <v>7777777</v>
      </c>
      <c r="R146" s="3" t="s">
        <v>37</v>
      </c>
      <c r="S146" s="3"/>
      <c r="T146" s="3"/>
      <c r="U146" s="5" t="s">
        <v>38</v>
      </c>
      <c r="V146" s="3"/>
      <c r="W146" s="3" t="s">
        <v>60</v>
      </c>
      <c r="X146" s="3" t="s">
        <v>40</v>
      </c>
      <c r="Y146" s="3" t="s">
        <v>41</v>
      </c>
      <c r="Z146" s="3" t="s">
        <v>70</v>
      </c>
      <c r="AA146" s="3" t="s">
        <v>49</v>
      </c>
      <c r="AB146" s="3" t="s">
        <v>40</v>
      </c>
      <c r="AC146" t="str">
        <f>IFERROR(VLOOKUP(C146,MigradosEfectivamente!B:B,1,FALSE),"No encontrado")</f>
        <v>No encontrado</v>
      </c>
    </row>
    <row r="147" spans="1:29" ht="60" x14ac:dyDescent="0.25">
      <c r="A147" s="3" t="s">
        <v>621</v>
      </c>
      <c r="B147" s="3" t="s">
        <v>622</v>
      </c>
      <c r="C147" s="3">
        <v>1100221941</v>
      </c>
      <c r="D147" s="3" t="s">
        <v>623</v>
      </c>
      <c r="E147" s="3">
        <v>3115562843</v>
      </c>
      <c r="F147" s="3" t="s">
        <v>624</v>
      </c>
      <c r="G147" s="3">
        <v>89</v>
      </c>
      <c r="H147" s="3" t="s">
        <v>97</v>
      </c>
      <c r="I147" s="3" t="s">
        <v>33</v>
      </c>
      <c r="J147" s="3" t="s">
        <v>34</v>
      </c>
      <c r="K147" s="3"/>
      <c r="L147" s="3"/>
      <c r="M147" s="3"/>
      <c r="N147" s="3" t="s">
        <v>35</v>
      </c>
      <c r="O147" s="3" t="s">
        <v>36</v>
      </c>
      <c r="P147" s="4">
        <v>45919.876886574071</v>
      </c>
      <c r="Q147" s="3">
        <v>7777777</v>
      </c>
      <c r="R147" s="3" t="s">
        <v>37</v>
      </c>
      <c r="S147" s="3"/>
      <c r="T147" s="3"/>
      <c r="U147" s="5" t="s">
        <v>38</v>
      </c>
      <c r="V147" s="3"/>
      <c r="W147" s="3" t="s">
        <v>60</v>
      </c>
      <c r="X147" s="3" t="s">
        <v>40</v>
      </c>
      <c r="Y147" s="3" t="s">
        <v>41</v>
      </c>
      <c r="Z147" s="3"/>
      <c r="AA147" s="3" t="s">
        <v>49</v>
      </c>
      <c r="AB147" s="3" t="s">
        <v>40</v>
      </c>
      <c r="AC147" t="str">
        <f>IFERROR(VLOOKUP(C147,MigradosEfectivamente!B:B,1,FALSE),"No encontrado")</f>
        <v>No encontrado</v>
      </c>
    </row>
    <row r="148" spans="1:29" ht="60" x14ac:dyDescent="0.25">
      <c r="A148" s="3" t="s">
        <v>625</v>
      </c>
      <c r="B148" s="3" t="s">
        <v>626</v>
      </c>
      <c r="C148" s="3">
        <v>1102354907</v>
      </c>
      <c r="D148" s="3" t="s">
        <v>627</v>
      </c>
      <c r="E148" s="3">
        <v>3167574676</v>
      </c>
      <c r="F148" s="3" t="s">
        <v>628</v>
      </c>
      <c r="G148" s="3">
        <v>89</v>
      </c>
      <c r="H148" s="3" t="s">
        <v>69</v>
      </c>
      <c r="I148" s="3" t="s">
        <v>33</v>
      </c>
      <c r="J148" s="3" t="s">
        <v>34</v>
      </c>
      <c r="K148" s="3"/>
      <c r="L148" s="3"/>
      <c r="M148" s="3"/>
      <c r="N148" s="3" t="s">
        <v>35</v>
      </c>
      <c r="O148" s="3" t="s">
        <v>36</v>
      </c>
      <c r="P148" s="4">
        <v>45919.876458333332</v>
      </c>
      <c r="Q148" s="3">
        <v>7777777</v>
      </c>
      <c r="R148" s="3" t="s">
        <v>37</v>
      </c>
      <c r="S148" s="3"/>
      <c r="T148" s="3"/>
      <c r="U148" s="5" t="s">
        <v>38</v>
      </c>
      <c r="V148" s="3"/>
      <c r="W148" s="3" t="s">
        <v>60</v>
      </c>
      <c r="X148" s="3" t="s">
        <v>41</v>
      </c>
      <c r="Y148" s="3" t="s">
        <v>41</v>
      </c>
      <c r="Z148" s="3" t="s">
        <v>42</v>
      </c>
      <c r="AA148" s="3" t="s">
        <v>49</v>
      </c>
      <c r="AB148" s="3" t="s">
        <v>40</v>
      </c>
      <c r="AC148" t="str">
        <f>IFERROR(VLOOKUP(C148,MigradosEfectivamente!B:B,1,FALSE),"No encontrado")</f>
        <v>No encontrado</v>
      </c>
    </row>
    <row r="149" spans="1:29" ht="60" x14ac:dyDescent="0.25">
      <c r="A149" s="3" t="s">
        <v>629</v>
      </c>
      <c r="B149" s="3" t="s">
        <v>630</v>
      </c>
      <c r="C149" s="3">
        <v>1096062677</v>
      </c>
      <c r="D149" s="3" t="s">
        <v>631</v>
      </c>
      <c r="E149" s="3">
        <v>3173111063</v>
      </c>
      <c r="F149" s="3" t="s">
        <v>632</v>
      </c>
      <c r="G149" s="3">
        <v>89</v>
      </c>
      <c r="H149" s="3" t="s">
        <v>110</v>
      </c>
      <c r="I149" s="3" t="s">
        <v>33</v>
      </c>
      <c r="J149" s="3" t="s">
        <v>34</v>
      </c>
      <c r="K149" s="3"/>
      <c r="L149" s="3"/>
      <c r="M149" s="3"/>
      <c r="N149" s="3" t="s">
        <v>35</v>
      </c>
      <c r="O149" s="3" t="s">
        <v>36</v>
      </c>
      <c r="P149" s="4">
        <v>45919.875902777778</v>
      </c>
      <c r="Q149" s="3">
        <v>7777777</v>
      </c>
      <c r="R149" s="3" t="s">
        <v>37</v>
      </c>
      <c r="S149" s="3"/>
      <c r="T149" s="3"/>
      <c r="U149" s="5" t="s">
        <v>38</v>
      </c>
      <c r="V149" s="3"/>
      <c r="W149" s="3" t="s">
        <v>60</v>
      </c>
      <c r="X149" s="3" t="s">
        <v>41</v>
      </c>
      <c r="Y149" s="3" t="s">
        <v>41</v>
      </c>
      <c r="Z149" s="3" t="s">
        <v>42</v>
      </c>
      <c r="AA149" s="3" t="s">
        <v>49</v>
      </c>
      <c r="AB149" s="3" t="s">
        <v>40</v>
      </c>
      <c r="AC149">
        <f>IFERROR(VLOOKUP(C149,MigradosEfectivamente!B:B,1,FALSE),"No encontrado")</f>
        <v>1096062677</v>
      </c>
    </row>
    <row r="150" spans="1:29" ht="60" x14ac:dyDescent="0.25">
      <c r="A150" s="3" t="s">
        <v>633</v>
      </c>
      <c r="B150" s="3" t="s">
        <v>634</v>
      </c>
      <c r="C150" s="3">
        <v>1091973258</v>
      </c>
      <c r="D150" s="3" t="s">
        <v>635</v>
      </c>
      <c r="E150" s="3">
        <v>3115396211</v>
      </c>
      <c r="F150" s="3" t="s">
        <v>636</v>
      </c>
      <c r="G150" s="3">
        <v>99</v>
      </c>
      <c r="H150" s="3" t="s">
        <v>69</v>
      </c>
      <c r="I150" s="3" t="s">
        <v>82</v>
      </c>
      <c r="J150" s="3" t="s">
        <v>34</v>
      </c>
      <c r="K150" s="3"/>
      <c r="L150" s="3"/>
      <c r="M150" s="3"/>
      <c r="N150" s="3" t="s">
        <v>35</v>
      </c>
      <c r="O150" s="3" t="s">
        <v>83</v>
      </c>
      <c r="P150" s="4">
        <v>45919.875844907408</v>
      </c>
      <c r="Q150" s="3">
        <v>7777777</v>
      </c>
      <c r="R150" s="3" t="s">
        <v>37</v>
      </c>
      <c r="S150" s="3"/>
      <c r="T150" s="3"/>
      <c r="U150" s="5" t="s">
        <v>38</v>
      </c>
      <c r="V150" s="3"/>
      <c r="W150" s="3" t="s">
        <v>60</v>
      </c>
      <c r="X150" s="3" t="s">
        <v>41</v>
      </c>
      <c r="Y150" s="3" t="s">
        <v>41</v>
      </c>
      <c r="Z150" s="3" t="s">
        <v>42</v>
      </c>
      <c r="AA150" s="3" t="s">
        <v>49</v>
      </c>
      <c r="AB150" s="3" t="s">
        <v>40</v>
      </c>
      <c r="AC150" t="str">
        <f>IFERROR(VLOOKUP(C150,MigradosEfectivamente!B:B,1,FALSE),"No encontrado")</f>
        <v>No encontrado</v>
      </c>
    </row>
    <row r="151" spans="1:29" ht="45" x14ac:dyDescent="0.25">
      <c r="A151" s="3" t="s">
        <v>637</v>
      </c>
      <c r="B151" s="3" t="s">
        <v>638</v>
      </c>
      <c r="C151" s="3">
        <v>1095949447</v>
      </c>
      <c r="D151" s="3" t="s">
        <v>639</v>
      </c>
      <c r="E151" s="3">
        <v>3177227375</v>
      </c>
      <c r="F151" s="3" t="s">
        <v>640</v>
      </c>
      <c r="G151" s="3">
        <v>89</v>
      </c>
      <c r="H151" s="3" t="s">
        <v>97</v>
      </c>
      <c r="I151" s="3" t="s">
        <v>33</v>
      </c>
      <c r="J151" s="3" t="s">
        <v>34</v>
      </c>
      <c r="K151" s="3"/>
      <c r="L151" s="3"/>
      <c r="M151" s="3"/>
      <c r="N151" s="3" t="s">
        <v>35</v>
      </c>
      <c r="O151" s="3" t="s">
        <v>36</v>
      </c>
      <c r="P151" s="4">
        <v>45919.492002314815</v>
      </c>
      <c r="Q151" s="3">
        <v>7777777</v>
      </c>
      <c r="R151" s="3" t="s">
        <v>37</v>
      </c>
      <c r="S151" s="3"/>
      <c r="T151" s="3"/>
      <c r="U151" s="5" t="s">
        <v>38</v>
      </c>
      <c r="V151" s="3"/>
      <c r="W151" s="3" t="s">
        <v>39</v>
      </c>
      <c r="X151" s="3" t="s">
        <v>41</v>
      </c>
      <c r="Y151" s="3" t="s">
        <v>41</v>
      </c>
      <c r="Z151" s="3" t="s">
        <v>70</v>
      </c>
      <c r="AA151" s="3" t="s">
        <v>49</v>
      </c>
      <c r="AB151" s="3" t="s">
        <v>40</v>
      </c>
      <c r="AC151">
        <f>IFERROR(VLOOKUP(C151,MigradosEfectivamente!B:B,1,FALSE),"No encontrado")</f>
        <v>1095949447</v>
      </c>
    </row>
    <row r="152" spans="1:29" ht="60" x14ac:dyDescent="0.25">
      <c r="A152" s="3">
        <v>23397</v>
      </c>
      <c r="B152" s="3" t="s">
        <v>641</v>
      </c>
      <c r="C152" s="3">
        <v>1102375439</v>
      </c>
      <c r="D152" s="3" t="s">
        <v>642</v>
      </c>
      <c r="E152" s="3">
        <v>3124319412</v>
      </c>
      <c r="F152" s="3" t="s">
        <v>643</v>
      </c>
      <c r="G152" s="3">
        <v>99</v>
      </c>
      <c r="H152" s="3" t="s">
        <v>269</v>
      </c>
      <c r="I152" s="3" t="s">
        <v>82</v>
      </c>
      <c r="J152" s="3" t="s">
        <v>34</v>
      </c>
      <c r="K152" s="3"/>
      <c r="L152" s="3"/>
      <c r="M152" s="3"/>
      <c r="N152" s="3" t="s">
        <v>35</v>
      </c>
      <c r="O152" s="3" t="s">
        <v>83</v>
      </c>
      <c r="P152" s="4">
        <v>45919.335833333331</v>
      </c>
      <c r="Q152" s="3">
        <v>7777777</v>
      </c>
      <c r="R152" s="3" t="s">
        <v>37</v>
      </c>
      <c r="S152" s="3"/>
      <c r="T152" s="3"/>
      <c r="U152" s="5" t="s">
        <v>38</v>
      </c>
      <c r="V152" s="3"/>
      <c r="W152" s="3" t="s">
        <v>60</v>
      </c>
      <c r="X152" s="3" t="s">
        <v>41</v>
      </c>
      <c r="Y152" s="3" t="s">
        <v>41</v>
      </c>
      <c r="Z152" s="3" t="s">
        <v>42</v>
      </c>
      <c r="AA152" s="3" t="s">
        <v>49</v>
      </c>
      <c r="AB152" s="3" t="s">
        <v>40</v>
      </c>
      <c r="AC152" t="str">
        <f>IFERROR(VLOOKUP(C152,MigradosEfectivamente!B:B,1,FALSE),"No encontrado")</f>
        <v>No encontrado</v>
      </c>
    </row>
    <row r="153" spans="1:29" ht="60" x14ac:dyDescent="0.25">
      <c r="A153" s="3" t="s">
        <v>644</v>
      </c>
      <c r="B153" s="3" t="s">
        <v>645</v>
      </c>
      <c r="C153" s="3">
        <v>1097188027</v>
      </c>
      <c r="D153" s="3" t="s">
        <v>46</v>
      </c>
      <c r="E153" s="3">
        <v>3012229314</v>
      </c>
      <c r="F153" s="3" t="s">
        <v>646</v>
      </c>
      <c r="G153" s="3">
        <v>89</v>
      </c>
      <c r="H153" s="3" t="s">
        <v>48</v>
      </c>
      <c r="I153" s="3" t="s">
        <v>33</v>
      </c>
      <c r="J153" s="3" t="s">
        <v>34</v>
      </c>
      <c r="K153" s="3"/>
      <c r="L153" s="3"/>
      <c r="M153" s="3"/>
      <c r="N153" s="3" t="s">
        <v>35</v>
      </c>
      <c r="O153" s="3" t="s">
        <v>36</v>
      </c>
      <c r="P153" s="4">
        <v>45919.335266203707</v>
      </c>
      <c r="Q153" s="3">
        <v>7777777</v>
      </c>
      <c r="R153" s="3" t="s">
        <v>37</v>
      </c>
      <c r="S153" s="3"/>
      <c r="T153" s="3"/>
      <c r="U153" s="5" t="s">
        <v>38</v>
      </c>
      <c r="V153" s="3"/>
      <c r="W153" s="3" t="s">
        <v>60</v>
      </c>
      <c r="X153" s="3" t="s">
        <v>40</v>
      </c>
      <c r="Y153" s="3" t="s">
        <v>41</v>
      </c>
      <c r="Z153" s="3" t="s">
        <v>42</v>
      </c>
      <c r="AA153" s="3" t="s">
        <v>49</v>
      </c>
      <c r="AB153" s="3" t="s">
        <v>40</v>
      </c>
      <c r="AC153" t="str">
        <f>IFERROR(VLOOKUP(C153,MigradosEfectivamente!B:B,1,FALSE),"No encontrado")</f>
        <v>No encontrado</v>
      </c>
    </row>
    <row r="154" spans="1:29" ht="60" x14ac:dyDescent="0.25">
      <c r="A154" s="3" t="s">
        <v>647</v>
      </c>
      <c r="B154" s="3" t="s">
        <v>648</v>
      </c>
      <c r="C154" s="3">
        <v>1098813281</v>
      </c>
      <c r="D154" s="3" t="s">
        <v>649</v>
      </c>
      <c r="E154" s="3">
        <v>3182209632</v>
      </c>
      <c r="F154" s="3" t="s">
        <v>650</v>
      </c>
      <c r="G154" s="3">
        <v>89</v>
      </c>
      <c r="H154" s="3" t="s">
        <v>110</v>
      </c>
      <c r="I154" s="3" t="s">
        <v>33</v>
      </c>
      <c r="J154" s="3" t="s">
        <v>34</v>
      </c>
      <c r="K154" s="3"/>
      <c r="L154" s="3"/>
      <c r="M154" s="3"/>
      <c r="N154" s="3" t="s">
        <v>35</v>
      </c>
      <c r="O154" s="3" t="s">
        <v>36</v>
      </c>
      <c r="P154" s="4">
        <v>45919.334618055553</v>
      </c>
      <c r="Q154" s="3">
        <v>7777777</v>
      </c>
      <c r="R154" s="3" t="s">
        <v>37</v>
      </c>
      <c r="S154" s="3"/>
      <c r="T154" s="3"/>
      <c r="U154" s="5" t="s">
        <v>38</v>
      </c>
      <c r="V154" s="3"/>
      <c r="W154" s="3" t="s">
        <v>60</v>
      </c>
      <c r="X154" s="3" t="s">
        <v>41</v>
      </c>
      <c r="Y154" s="3" t="s">
        <v>41</v>
      </c>
      <c r="Z154" s="3" t="s">
        <v>42</v>
      </c>
      <c r="AA154" s="3" t="s">
        <v>49</v>
      </c>
      <c r="AB154" s="3" t="s">
        <v>40</v>
      </c>
      <c r="AC154" t="str">
        <f>IFERROR(VLOOKUP(C154,MigradosEfectivamente!B:B,1,FALSE),"No encontrado")</f>
        <v>No encontrado</v>
      </c>
    </row>
    <row r="155" spans="1:29" ht="60" x14ac:dyDescent="0.25">
      <c r="A155" s="3" t="s">
        <v>651</v>
      </c>
      <c r="B155" s="3" t="s">
        <v>652</v>
      </c>
      <c r="C155" s="3">
        <v>1098677535</v>
      </c>
      <c r="D155" s="3" t="s">
        <v>653</v>
      </c>
      <c r="E155" s="3">
        <v>3118416738</v>
      </c>
      <c r="F155" s="3" t="s">
        <v>654</v>
      </c>
      <c r="G155" s="3">
        <v>89</v>
      </c>
      <c r="H155" s="3" t="s">
        <v>54</v>
      </c>
      <c r="I155" s="3" t="s">
        <v>33</v>
      </c>
      <c r="J155" s="3" t="s">
        <v>34</v>
      </c>
      <c r="K155" s="3"/>
      <c r="L155" s="3"/>
      <c r="M155" s="3"/>
      <c r="N155" s="3" t="s">
        <v>35</v>
      </c>
      <c r="O155" s="3" t="s">
        <v>36</v>
      </c>
      <c r="P155" s="4">
        <v>45919.334363425929</v>
      </c>
      <c r="Q155" s="3">
        <v>7777777</v>
      </c>
      <c r="R155" s="3" t="s">
        <v>37</v>
      </c>
      <c r="S155" s="3"/>
      <c r="T155" s="3"/>
      <c r="U155" s="5" t="s">
        <v>38</v>
      </c>
      <c r="V155" s="3"/>
      <c r="W155" s="3" t="s">
        <v>60</v>
      </c>
      <c r="X155" s="3" t="s">
        <v>40</v>
      </c>
      <c r="Y155" s="3" t="s">
        <v>41</v>
      </c>
      <c r="Z155" s="3" t="s">
        <v>42</v>
      </c>
      <c r="AA155" s="3" t="s">
        <v>49</v>
      </c>
      <c r="AB155" s="3" t="s">
        <v>40</v>
      </c>
      <c r="AC155">
        <f>IFERROR(VLOOKUP(C155,MigradosEfectivamente!B:B,1,FALSE),"No encontrado")</f>
        <v>1098677535</v>
      </c>
    </row>
    <row r="156" spans="1:29" ht="60" x14ac:dyDescent="0.25">
      <c r="A156" s="3" t="s">
        <v>655</v>
      </c>
      <c r="B156" s="3" t="s">
        <v>656</v>
      </c>
      <c r="C156" s="3">
        <v>1091354733</v>
      </c>
      <c r="D156" s="3" t="s">
        <v>288</v>
      </c>
      <c r="E156" s="3">
        <v>3188213670</v>
      </c>
      <c r="F156" s="3" t="s">
        <v>657</v>
      </c>
      <c r="G156" s="3">
        <v>89</v>
      </c>
      <c r="H156" s="3" t="s">
        <v>69</v>
      </c>
      <c r="I156" s="3" t="s">
        <v>82</v>
      </c>
      <c r="J156" s="3" t="s">
        <v>34</v>
      </c>
      <c r="K156" s="3"/>
      <c r="L156" s="3"/>
      <c r="M156" s="3"/>
      <c r="N156" s="3" t="s">
        <v>35</v>
      </c>
      <c r="O156" s="3" t="s">
        <v>36</v>
      </c>
      <c r="P156" s="4">
        <v>45918.876585648148</v>
      </c>
      <c r="Q156" s="3">
        <v>7777777</v>
      </c>
      <c r="R156" s="3" t="s">
        <v>37</v>
      </c>
      <c r="S156" s="3"/>
      <c r="T156" s="3"/>
      <c r="U156" s="5" t="s">
        <v>38</v>
      </c>
      <c r="V156" s="3"/>
      <c r="W156" s="3" t="s">
        <v>60</v>
      </c>
      <c r="X156" s="3" t="s">
        <v>41</v>
      </c>
      <c r="Y156" s="3" t="s">
        <v>41</v>
      </c>
      <c r="Z156" s="3" t="s">
        <v>42</v>
      </c>
      <c r="AA156" s="3" t="s">
        <v>49</v>
      </c>
      <c r="AB156" s="3" t="s">
        <v>40</v>
      </c>
      <c r="AC156">
        <f>IFERROR(VLOOKUP(C156,MigradosEfectivamente!B:B,1,FALSE),"No encontrado")</f>
        <v>1091354733</v>
      </c>
    </row>
    <row r="157" spans="1:29" ht="45" x14ac:dyDescent="0.25">
      <c r="A157" s="3" t="s">
        <v>658</v>
      </c>
      <c r="B157" s="3" t="s">
        <v>659</v>
      </c>
      <c r="C157" s="3">
        <v>1098659155</v>
      </c>
      <c r="D157" s="3" t="s">
        <v>660</v>
      </c>
      <c r="E157" s="3">
        <v>3143785739</v>
      </c>
      <c r="F157" s="3" t="s">
        <v>661</v>
      </c>
      <c r="G157" s="3">
        <v>590</v>
      </c>
      <c r="H157" s="3" t="s">
        <v>110</v>
      </c>
      <c r="I157" s="3" t="s">
        <v>662</v>
      </c>
      <c r="J157" s="3" t="s">
        <v>34</v>
      </c>
      <c r="K157" s="3"/>
      <c r="L157" s="3"/>
      <c r="M157" s="3"/>
      <c r="N157" s="3" t="s">
        <v>35</v>
      </c>
      <c r="O157" s="3" t="s">
        <v>663</v>
      </c>
      <c r="P157" s="4">
        <v>45918.820601851854</v>
      </c>
      <c r="Q157" s="3">
        <v>7777777</v>
      </c>
      <c r="R157" s="3" t="s">
        <v>37</v>
      </c>
      <c r="S157" s="3"/>
      <c r="T157" s="3"/>
      <c r="U157" s="5" t="s">
        <v>38</v>
      </c>
      <c r="V157" s="3"/>
      <c r="W157" s="3" t="s">
        <v>39</v>
      </c>
      <c r="X157" s="3" t="s">
        <v>41</v>
      </c>
      <c r="Y157" s="3" t="s">
        <v>41</v>
      </c>
      <c r="Z157" s="3" t="s">
        <v>42</v>
      </c>
      <c r="AA157" s="3" t="s">
        <v>49</v>
      </c>
      <c r="AB157" s="3" t="s">
        <v>40</v>
      </c>
      <c r="AC157" t="str">
        <f>IFERROR(VLOOKUP(C157,MigradosEfectivamente!B:B,1,FALSE),"No encontrado")</f>
        <v>No encontrado</v>
      </c>
    </row>
    <row r="158" spans="1:29" ht="60" x14ac:dyDescent="0.25">
      <c r="A158" s="3" t="s">
        <v>664</v>
      </c>
      <c r="B158" s="3" t="s">
        <v>665</v>
      </c>
      <c r="C158" s="3">
        <v>1095949780</v>
      </c>
      <c r="D158" s="3" t="s">
        <v>666</v>
      </c>
      <c r="E158" s="3">
        <v>3202487008</v>
      </c>
      <c r="F158" s="3" t="s">
        <v>667</v>
      </c>
      <c r="G158" s="3">
        <v>89</v>
      </c>
      <c r="H158" s="3" t="s">
        <v>48</v>
      </c>
      <c r="I158" s="3" t="s">
        <v>119</v>
      </c>
      <c r="J158" s="3" t="s">
        <v>34</v>
      </c>
      <c r="K158" s="3"/>
      <c r="L158" s="3"/>
      <c r="M158" s="3"/>
      <c r="N158" s="3" t="s">
        <v>35</v>
      </c>
      <c r="O158" s="3" t="s">
        <v>36</v>
      </c>
      <c r="P158" s="4">
        <v>45918.586516203701</v>
      </c>
      <c r="Q158" s="3">
        <v>7777777</v>
      </c>
      <c r="R158" s="3" t="s">
        <v>37</v>
      </c>
      <c r="S158" s="3"/>
      <c r="T158" s="3"/>
      <c r="U158" s="5" t="s">
        <v>38</v>
      </c>
      <c r="V158" s="3"/>
      <c r="W158" s="3" t="s">
        <v>60</v>
      </c>
      <c r="X158" s="3" t="s">
        <v>40</v>
      </c>
      <c r="Y158" s="3" t="s">
        <v>41</v>
      </c>
      <c r="Z158" s="3" t="s">
        <v>42</v>
      </c>
      <c r="AA158" s="3" t="s">
        <v>49</v>
      </c>
      <c r="AB158" s="3" t="s">
        <v>40</v>
      </c>
      <c r="AC158" t="str">
        <f>IFERROR(VLOOKUP(C158,MigradosEfectivamente!B:B,1,FALSE),"No encontrado")</f>
        <v>No encontrado</v>
      </c>
    </row>
    <row r="159" spans="1:29" ht="60" x14ac:dyDescent="0.25">
      <c r="A159" s="3" t="s">
        <v>668</v>
      </c>
      <c r="B159" s="3" t="s">
        <v>669</v>
      </c>
      <c r="C159" s="3">
        <v>30325888</v>
      </c>
      <c r="D159" s="3" t="s">
        <v>670</v>
      </c>
      <c r="E159" s="3">
        <v>3189886114</v>
      </c>
      <c r="F159" s="3" t="s">
        <v>671</v>
      </c>
      <c r="G159" s="3">
        <v>89</v>
      </c>
      <c r="H159" s="3" t="s">
        <v>59</v>
      </c>
      <c r="I159" s="3" t="s">
        <v>33</v>
      </c>
      <c r="J159" s="3" t="s">
        <v>34</v>
      </c>
      <c r="K159" s="3"/>
      <c r="L159" s="3"/>
      <c r="M159" s="3"/>
      <c r="N159" s="3" t="s">
        <v>35</v>
      </c>
      <c r="O159" s="3" t="s">
        <v>36</v>
      </c>
      <c r="P159" s="4">
        <v>45918.584293981483</v>
      </c>
      <c r="Q159" s="3">
        <v>7777777</v>
      </c>
      <c r="R159" s="3" t="s">
        <v>37</v>
      </c>
      <c r="S159" s="3"/>
      <c r="T159" s="3"/>
      <c r="U159" s="5" t="s">
        <v>38</v>
      </c>
      <c r="V159" s="3"/>
      <c r="W159" s="3" t="s">
        <v>60</v>
      </c>
      <c r="X159" s="3" t="s">
        <v>40</v>
      </c>
      <c r="Y159" s="3" t="s">
        <v>41</v>
      </c>
      <c r="Z159" s="3"/>
      <c r="AA159" s="3" t="s">
        <v>49</v>
      </c>
      <c r="AB159" s="3" t="s">
        <v>40</v>
      </c>
      <c r="AC159" t="str">
        <f>IFERROR(VLOOKUP(C159,MigradosEfectivamente!B:B,1,FALSE),"No encontrado")</f>
        <v>No encontrado</v>
      </c>
    </row>
    <row r="160" spans="1:29" ht="45" x14ac:dyDescent="0.25">
      <c r="A160" s="3" t="s">
        <v>672</v>
      </c>
      <c r="B160" s="3" t="s">
        <v>673</v>
      </c>
      <c r="C160" s="3">
        <v>1090502319</v>
      </c>
      <c r="D160" s="3" t="s">
        <v>288</v>
      </c>
      <c r="E160" s="3">
        <v>3137530787</v>
      </c>
      <c r="F160" s="3" t="s">
        <v>674</v>
      </c>
      <c r="G160" s="3">
        <v>89</v>
      </c>
      <c r="H160" s="3" t="s">
        <v>136</v>
      </c>
      <c r="I160" s="3" t="s">
        <v>33</v>
      </c>
      <c r="J160" s="3" t="s">
        <v>34</v>
      </c>
      <c r="K160" s="3"/>
      <c r="L160" s="3"/>
      <c r="M160" s="3"/>
      <c r="N160" s="3" t="s">
        <v>35</v>
      </c>
      <c r="O160" s="3" t="s">
        <v>36</v>
      </c>
      <c r="P160" s="4">
        <v>45918.382592592592</v>
      </c>
      <c r="Q160" s="3">
        <v>7777777</v>
      </c>
      <c r="R160" s="3" t="s">
        <v>37</v>
      </c>
      <c r="S160" s="3"/>
      <c r="T160" s="3"/>
      <c r="U160" s="5" t="s">
        <v>38</v>
      </c>
      <c r="V160" s="3"/>
      <c r="W160" s="3" t="s">
        <v>39</v>
      </c>
      <c r="X160" s="3" t="s">
        <v>40</v>
      </c>
      <c r="Y160" s="3" t="s">
        <v>41</v>
      </c>
      <c r="Z160" s="3" t="s">
        <v>42</v>
      </c>
      <c r="AA160" s="3" t="s">
        <v>49</v>
      </c>
      <c r="AB160" s="3" t="s">
        <v>40</v>
      </c>
      <c r="AC160" t="str">
        <f>IFERROR(VLOOKUP(C160,MigradosEfectivamente!B:B,1,FALSE),"No encontrado")</f>
        <v>No encontrado</v>
      </c>
    </row>
    <row r="161" spans="1:29" ht="60" x14ac:dyDescent="0.25">
      <c r="A161" s="3" t="s">
        <v>675</v>
      </c>
      <c r="B161" s="3" t="s">
        <v>676</v>
      </c>
      <c r="C161" s="3">
        <v>1095806329</v>
      </c>
      <c r="D161" s="3" t="s">
        <v>677</v>
      </c>
      <c r="E161" s="3">
        <v>3143327087</v>
      </c>
      <c r="F161" s="3" t="s">
        <v>678</v>
      </c>
      <c r="G161" s="3">
        <v>89</v>
      </c>
      <c r="H161" s="3" t="s">
        <v>54</v>
      </c>
      <c r="I161" s="3" t="s">
        <v>33</v>
      </c>
      <c r="J161" s="3" t="s">
        <v>34</v>
      </c>
      <c r="K161" s="3"/>
      <c r="L161" s="3"/>
      <c r="M161" s="3"/>
      <c r="N161" s="3" t="s">
        <v>35</v>
      </c>
      <c r="O161" s="3" t="s">
        <v>36</v>
      </c>
      <c r="P161" s="4">
        <v>45918.337268518517</v>
      </c>
      <c r="Q161" s="3">
        <v>7777777</v>
      </c>
      <c r="R161" s="3" t="s">
        <v>37</v>
      </c>
      <c r="S161" s="3"/>
      <c r="T161" s="3"/>
      <c r="U161" s="5" t="s">
        <v>38</v>
      </c>
      <c r="V161" s="3"/>
      <c r="W161" s="3" t="s">
        <v>60</v>
      </c>
      <c r="X161" s="3" t="s">
        <v>41</v>
      </c>
      <c r="Y161" s="3" t="s">
        <v>41</v>
      </c>
      <c r="Z161" s="3" t="s">
        <v>42</v>
      </c>
      <c r="AA161" s="3" t="s">
        <v>49</v>
      </c>
      <c r="AB161" s="3" t="s">
        <v>40</v>
      </c>
      <c r="AC161" t="str">
        <f>IFERROR(VLOOKUP(C161,MigradosEfectivamente!B:B,1,FALSE),"No encontrado")</f>
        <v>No encontrado</v>
      </c>
    </row>
    <row r="162" spans="1:29" ht="60" x14ac:dyDescent="0.25">
      <c r="A162" s="3" t="s">
        <v>679</v>
      </c>
      <c r="B162" s="3" t="s">
        <v>680</v>
      </c>
      <c r="C162" s="3">
        <v>37199416</v>
      </c>
      <c r="D162" s="3" t="s">
        <v>80</v>
      </c>
      <c r="E162" s="3">
        <v>3102381270</v>
      </c>
      <c r="F162" s="3" t="s">
        <v>681</v>
      </c>
      <c r="G162" s="3">
        <v>89</v>
      </c>
      <c r="H162" s="3" t="s">
        <v>136</v>
      </c>
      <c r="I162" s="3" t="s">
        <v>33</v>
      </c>
      <c r="J162" s="3" t="s">
        <v>34</v>
      </c>
      <c r="K162" s="3"/>
      <c r="L162" s="3"/>
      <c r="M162" s="3"/>
      <c r="N162" s="3" t="s">
        <v>35</v>
      </c>
      <c r="O162" s="3" t="s">
        <v>36</v>
      </c>
      <c r="P162" s="4">
        <v>45918.336469907408</v>
      </c>
      <c r="Q162" s="3">
        <v>7777777</v>
      </c>
      <c r="R162" s="3" t="s">
        <v>37</v>
      </c>
      <c r="S162" s="3"/>
      <c r="T162" s="3"/>
      <c r="U162" s="5" t="s">
        <v>38</v>
      </c>
      <c r="V162" s="3"/>
      <c r="W162" s="3" t="s">
        <v>60</v>
      </c>
      <c r="X162" s="3" t="s">
        <v>41</v>
      </c>
      <c r="Y162" s="3" t="s">
        <v>41</v>
      </c>
      <c r="Z162" s="3" t="s">
        <v>42</v>
      </c>
      <c r="AA162" s="3" t="s">
        <v>49</v>
      </c>
      <c r="AB162" s="3" t="s">
        <v>40</v>
      </c>
      <c r="AC162" t="str">
        <f>IFERROR(VLOOKUP(C162,MigradosEfectivamente!B:B,1,FALSE),"No encontrado")</f>
        <v>No encontrado</v>
      </c>
    </row>
    <row r="163" spans="1:29" ht="60" x14ac:dyDescent="0.25">
      <c r="A163" s="3" t="s">
        <v>682</v>
      </c>
      <c r="B163" s="3" t="s">
        <v>683</v>
      </c>
      <c r="C163" s="3">
        <v>757528</v>
      </c>
      <c r="D163" s="3" t="s">
        <v>684</v>
      </c>
      <c r="E163" s="3">
        <v>3229199761</v>
      </c>
      <c r="F163" s="3" t="s">
        <v>685</v>
      </c>
      <c r="G163" s="3">
        <v>99</v>
      </c>
      <c r="H163" s="3" t="s">
        <v>54</v>
      </c>
      <c r="I163" s="3" t="s">
        <v>82</v>
      </c>
      <c r="J163" s="3" t="s">
        <v>34</v>
      </c>
      <c r="K163" s="3"/>
      <c r="L163" s="3"/>
      <c r="M163" s="3"/>
      <c r="N163" s="3" t="s">
        <v>35</v>
      </c>
      <c r="O163" s="3" t="s">
        <v>83</v>
      </c>
      <c r="P163" s="4">
        <v>45918.335324074076</v>
      </c>
      <c r="Q163" s="3">
        <v>7777777</v>
      </c>
      <c r="R163" s="3" t="s">
        <v>37</v>
      </c>
      <c r="S163" s="3"/>
      <c r="T163" s="3"/>
      <c r="U163" s="5" t="s">
        <v>38</v>
      </c>
      <c r="V163" s="3"/>
      <c r="W163" s="3" t="s">
        <v>60</v>
      </c>
      <c r="X163" s="3" t="s">
        <v>40</v>
      </c>
      <c r="Y163" s="3" t="s">
        <v>41</v>
      </c>
      <c r="Z163" s="3" t="s">
        <v>42</v>
      </c>
      <c r="AA163" s="3" t="s">
        <v>43</v>
      </c>
      <c r="AB163" s="3" t="s">
        <v>40</v>
      </c>
      <c r="AC163" t="str">
        <f>IFERROR(VLOOKUP(C163,MigradosEfectivamente!B:B,1,FALSE),"No encontrado")</f>
        <v>No encontrado</v>
      </c>
    </row>
    <row r="164" spans="1:29" ht="60" x14ac:dyDescent="0.25">
      <c r="A164" s="3" t="s">
        <v>686</v>
      </c>
      <c r="B164" s="3" t="s">
        <v>687</v>
      </c>
      <c r="C164" s="3">
        <v>1127913776</v>
      </c>
      <c r="D164" s="3" t="s">
        <v>288</v>
      </c>
      <c r="E164" s="3">
        <v>3115215159</v>
      </c>
      <c r="F164" s="3" t="s">
        <v>688</v>
      </c>
      <c r="G164" s="3">
        <v>99</v>
      </c>
      <c r="H164" s="3" t="s">
        <v>69</v>
      </c>
      <c r="I164" s="3" t="s">
        <v>82</v>
      </c>
      <c r="J164" s="3" t="s">
        <v>34</v>
      </c>
      <c r="K164" s="3"/>
      <c r="L164" s="3"/>
      <c r="M164" s="3"/>
      <c r="N164" s="3" t="s">
        <v>35</v>
      </c>
      <c r="O164" s="3" t="s">
        <v>83</v>
      </c>
      <c r="P164" s="4">
        <v>45917.877268518518</v>
      </c>
      <c r="Q164" s="3">
        <v>7777777</v>
      </c>
      <c r="R164" s="3" t="s">
        <v>37</v>
      </c>
      <c r="S164" s="3"/>
      <c r="T164" s="3"/>
      <c r="U164" s="5" t="s">
        <v>38</v>
      </c>
      <c r="V164" s="3"/>
      <c r="W164" s="3" t="s">
        <v>60</v>
      </c>
      <c r="X164" s="3" t="s">
        <v>41</v>
      </c>
      <c r="Y164" s="3" t="s">
        <v>41</v>
      </c>
      <c r="Z164" s="3" t="s">
        <v>42</v>
      </c>
      <c r="AA164" s="3" t="s">
        <v>43</v>
      </c>
      <c r="AB164" s="3" t="s">
        <v>40</v>
      </c>
      <c r="AC164" t="str">
        <f>IFERROR(VLOOKUP(C164,MigradosEfectivamente!B:B,1,FALSE),"No encontrado")</f>
        <v>No encontrado</v>
      </c>
    </row>
    <row r="165" spans="1:29" ht="45" x14ac:dyDescent="0.25">
      <c r="A165" s="3" t="s">
        <v>689</v>
      </c>
      <c r="B165" s="3" t="s">
        <v>690</v>
      </c>
      <c r="C165" s="3">
        <v>1005373051</v>
      </c>
      <c r="D165" s="3" t="s">
        <v>691</v>
      </c>
      <c r="E165" s="3">
        <v>3160507331</v>
      </c>
      <c r="F165" s="3" t="s">
        <v>692</v>
      </c>
      <c r="G165" s="3">
        <v>590</v>
      </c>
      <c r="H165" s="3" t="s">
        <v>48</v>
      </c>
      <c r="I165" s="3" t="s">
        <v>662</v>
      </c>
      <c r="J165" s="3" t="s">
        <v>34</v>
      </c>
      <c r="K165" s="3"/>
      <c r="L165" s="3"/>
      <c r="M165" s="3"/>
      <c r="N165" s="3" t="s">
        <v>35</v>
      </c>
      <c r="O165" s="3" t="s">
        <v>663</v>
      </c>
      <c r="P165" s="4">
        <v>45917.702256944445</v>
      </c>
      <c r="Q165" s="3">
        <v>7777777</v>
      </c>
      <c r="R165" s="3" t="s">
        <v>37</v>
      </c>
      <c r="S165" s="3"/>
      <c r="T165" s="3"/>
      <c r="U165" s="5" t="s">
        <v>38</v>
      </c>
      <c r="V165" s="3"/>
      <c r="W165" s="3" t="s">
        <v>39</v>
      </c>
      <c r="X165" s="3" t="s">
        <v>40</v>
      </c>
      <c r="Y165" s="3" t="s">
        <v>41</v>
      </c>
      <c r="Z165" s="3" t="s">
        <v>70</v>
      </c>
      <c r="AA165" s="3" t="s">
        <v>43</v>
      </c>
      <c r="AB165" s="3" t="s">
        <v>40</v>
      </c>
      <c r="AC165" t="str">
        <f>IFERROR(VLOOKUP(C165,MigradosEfectivamente!B:B,1,FALSE),"No encontrado")</f>
        <v>No encontrado</v>
      </c>
    </row>
    <row r="166" spans="1:29" ht="45" x14ac:dyDescent="0.25">
      <c r="A166" s="3" t="s">
        <v>693</v>
      </c>
      <c r="B166" s="3" t="s">
        <v>694</v>
      </c>
      <c r="C166" s="3">
        <v>1005136377</v>
      </c>
      <c r="D166" s="3" t="s">
        <v>695</v>
      </c>
      <c r="E166" s="3">
        <v>3143655123</v>
      </c>
      <c r="F166" s="3" t="s">
        <v>696</v>
      </c>
      <c r="G166" s="3">
        <v>590</v>
      </c>
      <c r="H166" s="3" t="s">
        <v>48</v>
      </c>
      <c r="I166" s="3" t="s">
        <v>662</v>
      </c>
      <c r="J166" s="3" t="s">
        <v>34</v>
      </c>
      <c r="K166" s="3"/>
      <c r="L166" s="3"/>
      <c r="M166" s="3"/>
      <c r="N166" s="3" t="s">
        <v>35</v>
      </c>
      <c r="O166" s="3" t="s">
        <v>663</v>
      </c>
      <c r="P166" s="4">
        <v>45917.698564814818</v>
      </c>
      <c r="Q166" s="3">
        <v>7777777</v>
      </c>
      <c r="R166" s="3" t="s">
        <v>37</v>
      </c>
      <c r="S166" s="3"/>
      <c r="T166" s="3"/>
      <c r="U166" s="5" t="s">
        <v>38</v>
      </c>
      <c r="V166" s="3"/>
      <c r="W166" s="3" t="s">
        <v>39</v>
      </c>
      <c r="X166" s="3" t="s">
        <v>40</v>
      </c>
      <c r="Y166" s="3" t="s">
        <v>41</v>
      </c>
      <c r="Z166" s="3" t="s">
        <v>70</v>
      </c>
      <c r="AA166" s="3" t="s">
        <v>43</v>
      </c>
      <c r="AB166" s="3" t="s">
        <v>40</v>
      </c>
      <c r="AC166" t="str">
        <f>IFERROR(VLOOKUP(C166,MigradosEfectivamente!B:B,1,FALSE),"No encontrado")</f>
        <v>No encontrado</v>
      </c>
    </row>
    <row r="167" spans="1:29" ht="45" x14ac:dyDescent="0.25">
      <c r="A167" s="3" t="s">
        <v>697</v>
      </c>
      <c r="B167" s="3" t="s">
        <v>698</v>
      </c>
      <c r="C167" s="3">
        <v>1143432060</v>
      </c>
      <c r="D167" s="3" t="s">
        <v>699</v>
      </c>
      <c r="E167" s="3">
        <v>3108026880</v>
      </c>
      <c r="F167" s="3" t="s">
        <v>700</v>
      </c>
      <c r="G167" s="3">
        <v>89</v>
      </c>
      <c r="H167" s="3" t="s">
        <v>48</v>
      </c>
      <c r="I167" s="3" t="s">
        <v>33</v>
      </c>
      <c r="J167" s="3" t="s">
        <v>34</v>
      </c>
      <c r="K167" s="3"/>
      <c r="L167" s="3"/>
      <c r="M167" s="3"/>
      <c r="N167" s="3" t="s">
        <v>35</v>
      </c>
      <c r="O167" s="3" t="s">
        <v>36</v>
      </c>
      <c r="P167" s="4">
        <v>45917.690057870372</v>
      </c>
      <c r="Q167" s="3">
        <v>7777777</v>
      </c>
      <c r="R167" s="3" t="s">
        <v>37</v>
      </c>
      <c r="S167" s="3"/>
      <c r="T167" s="3"/>
      <c r="U167" s="5" t="s">
        <v>38</v>
      </c>
      <c r="V167" s="3"/>
      <c r="W167" s="3" t="s">
        <v>39</v>
      </c>
      <c r="X167" s="3" t="s">
        <v>40</v>
      </c>
      <c r="Y167" s="3" t="s">
        <v>41</v>
      </c>
      <c r="Z167" s="3" t="s">
        <v>70</v>
      </c>
      <c r="AA167" s="3" t="s">
        <v>43</v>
      </c>
      <c r="AB167" s="3" t="s">
        <v>41</v>
      </c>
      <c r="AC167" t="str">
        <f>IFERROR(VLOOKUP(C167,MigradosEfectivamente!B:B,1,FALSE),"No encontrado")</f>
        <v>No encontrado</v>
      </c>
    </row>
    <row r="168" spans="1:29" ht="60" x14ac:dyDescent="0.25">
      <c r="A168" s="3" t="s">
        <v>701</v>
      </c>
      <c r="B168" s="3" t="s">
        <v>702</v>
      </c>
      <c r="C168" s="3">
        <v>7148668</v>
      </c>
      <c r="D168" s="3" t="s">
        <v>122</v>
      </c>
      <c r="E168" s="3" t="s">
        <v>703</v>
      </c>
      <c r="F168" s="3" t="s">
        <v>704</v>
      </c>
      <c r="G168" s="3">
        <v>99</v>
      </c>
      <c r="H168" s="3" t="s">
        <v>110</v>
      </c>
      <c r="I168" s="3" t="s">
        <v>82</v>
      </c>
      <c r="J168" s="3" t="s">
        <v>34</v>
      </c>
      <c r="K168" s="3"/>
      <c r="L168" s="3"/>
      <c r="M168" s="3"/>
      <c r="N168" s="3" t="s">
        <v>35</v>
      </c>
      <c r="O168" s="3" t="s">
        <v>83</v>
      </c>
      <c r="P168" s="4">
        <v>45917.583865740744</v>
      </c>
      <c r="Q168" s="3">
        <v>7777777</v>
      </c>
      <c r="R168" s="3" t="s">
        <v>37</v>
      </c>
      <c r="S168" s="3"/>
      <c r="T168" s="3"/>
      <c r="U168" s="5" t="s">
        <v>38</v>
      </c>
      <c r="V168" s="3"/>
      <c r="W168" s="3" t="s">
        <v>60</v>
      </c>
      <c r="X168" s="3" t="s">
        <v>40</v>
      </c>
      <c r="Y168" s="3" t="s">
        <v>41</v>
      </c>
      <c r="Z168" s="3" t="s">
        <v>42</v>
      </c>
      <c r="AA168" s="3" t="s">
        <v>43</v>
      </c>
      <c r="AB168" s="3" t="s">
        <v>40</v>
      </c>
      <c r="AC168" t="str">
        <f>IFERROR(VLOOKUP(C168,MigradosEfectivamente!B:B,1,FALSE),"No encontrado")</f>
        <v>No encontrado</v>
      </c>
    </row>
    <row r="169" spans="1:29" ht="60" x14ac:dyDescent="0.25">
      <c r="A169" s="3" t="s">
        <v>705</v>
      </c>
      <c r="B169" s="3" t="s">
        <v>706</v>
      </c>
      <c r="C169" s="3">
        <v>1091362446</v>
      </c>
      <c r="D169" s="3" t="s">
        <v>707</v>
      </c>
      <c r="E169" s="3">
        <v>3138739230</v>
      </c>
      <c r="F169" s="3" t="s">
        <v>708</v>
      </c>
      <c r="G169" s="3">
        <v>89</v>
      </c>
      <c r="H169" s="3" t="s">
        <v>69</v>
      </c>
      <c r="I169" s="3" t="s">
        <v>82</v>
      </c>
      <c r="J169" s="3" t="s">
        <v>34</v>
      </c>
      <c r="K169" s="3"/>
      <c r="L169" s="3"/>
      <c r="M169" s="3"/>
      <c r="N169" s="3" t="s">
        <v>35</v>
      </c>
      <c r="O169" s="3" t="s">
        <v>36</v>
      </c>
      <c r="P169" s="4">
        <v>45917.339826388888</v>
      </c>
      <c r="Q169" s="3">
        <v>7777777</v>
      </c>
      <c r="R169" s="3" t="s">
        <v>37</v>
      </c>
      <c r="S169" s="3"/>
      <c r="T169" s="3"/>
      <c r="U169" s="5" t="s">
        <v>38</v>
      </c>
      <c r="V169" s="3"/>
      <c r="W169" s="3" t="s">
        <v>60</v>
      </c>
      <c r="X169" s="3" t="s">
        <v>41</v>
      </c>
      <c r="Y169" s="3" t="s">
        <v>41</v>
      </c>
      <c r="Z169" s="3" t="s">
        <v>42</v>
      </c>
      <c r="AA169" s="3" t="s">
        <v>43</v>
      </c>
      <c r="AB169" s="3" t="s">
        <v>40</v>
      </c>
      <c r="AC169" t="str">
        <f>IFERROR(VLOOKUP(C169,MigradosEfectivamente!B:B,1,FALSE),"No encontrado")</f>
        <v>No encontrado</v>
      </c>
    </row>
    <row r="170" spans="1:29" ht="60" x14ac:dyDescent="0.25">
      <c r="A170" s="3" t="s">
        <v>709</v>
      </c>
      <c r="B170" s="3" t="s">
        <v>710</v>
      </c>
      <c r="C170" s="3">
        <v>1003952327</v>
      </c>
      <c r="D170" s="3" t="s">
        <v>711</v>
      </c>
      <c r="E170" s="3">
        <v>3155014924</v>
      </c>
      <c r="F170" s="3" t="s">
        <v>712</v>
      </c>
      <c r="G170" s="3">
        <v>89</v>
      </c>
      <c r="H170" s="3" t="s">
        <v>59</v>
      </c>
      <c r="I170" s="3" t="s">
        <v>33</v>
      </c>
      <c r="J170" s="3" t="s">
        <v>34</v>
      </c>
      <c r="K170" s="3"/>
      <c r="L170" s="3"/>
      <c r="M170" s="3"/>
      <c r="N170" s="3" t="s">
        <v>35</v>
      </c>
      <c r="O170" s="3" t="s">
        <v>36</v>
      </c>
      <c r="P170" s="4">
        <v>45917.337291666663</v>
      </c>
      <c r="Q170" s="3">
        <v>7777777</v>
      </c>
      <c r="R170" s="3" t="s">
        <v>37</v>
      </c>
      <c r="S170" s="3"/>
      <c r="T170" s="3"/>
      <c r="U170" s="5" t="s">
        <v>38</v>
      </c>
      <c r="V170" s="3"/>
      <c r="W170" s="3" t="s">
        <v>60</v>
      </c>
      <c r="X170" s="3" t="s">
        <v>41</v>
      </c>
      <c r="Y170" s="3" t="s">
        <v>41</v>
      </c>
      <c r="Z170" s="3" t="s">
        <v>42</v>
      </c>
      <c r="AA170" s="3" t="s">
        <v>43</v>
      </c>
      <c r="AB170" s="3" t="s">
        <v>40</v>
      </c>
      <c r="AC170" t="str">
        <f>IFERROR(VLOOKUP(C170,MigradosEfectivamente!B:B,1,FALSE),"No encontrado")</f>
        <v>No encontrado</v>
      </c>
    </row>
    <row r="171" spans="1:29" ht="60" x14ac:dyDescent="0.25">
      <c r="A171" s="3" t="s">
        <v>713</v>
      </c>
      <c r="B171" s="3" t="s">
        <v>714</v>
      </c>
      <c r="C171" s="3">
        <v>1098649193</v>
      </c>
      <c r="D171" s="3" t="s">
        <v>715</v>
      </c>
      <c r="E171" s="3">
        <v>3102944662</v>
      </c>
      <c r="F171" s="3" t="s">
        <v>716</v>
      </c>
      <c r="G171" s="3">
        <v>89</v>
      </c>
      <c r="H171" s="3" t="s">
        <v>97</v>
      </c>
      <c r="I171" s="3" t="s">
        <v>33</v>
      </c>
      <c r="J171" s="3" t="s">
        <v>34</v>
      </c>
      <c r="K171" s="3"/>
      <c r="L171" s="3"/>
      <c r="M171" s="3"/>
      <c r="N171" s="3" t="s">
        <v>35</v>
      </c>
      <c r="O171" s="3" t="s">
        <v>36</v>
      </c>
      <c r="P171" s="4">
        <v>45917.336157407408</v>
      </c>
      <c r="Q171" s="3">
        <v>7777777</v>
      </c>
      <c r="R171" s="3" t="s">
        <v>37</v>
      </c>
      <c r="S171" s="3"/>
      <c r="T171" s="3"/>
      <c r="U171" s="5" t="s">
        <v>38</v>
      </c>
      <c r="V171" s="3"/>
      <c r="W171" s="3" t="s">
        <v>60</v>
      </c>
      <c r="X171" s="3" t="s">
        <v>40</v>
      </c>
      <c r="Y171" s="3" t="s">
        <v>41</v>
      </c>
      <c r="Z171" s="3" t="s">
        <v>42</v>
      </c>
      <c r="AA171" s="3" t="s">
        <v>43</v>
      </c>
      <c r="AB171" s="3" t="s">
        <v>40</v>
      </c>
      <c r="AC171">
        <f>IFERROR(VLOOKUP(C171,MigradosEfectivamente!B:B,1,FALSE),"No encontrado")</f>
        <v>1098649193</v>
      </c>
    </row>
    <row r="172" spans="1:29" ht="60" x14ac:dyDescent="0.25">
      <c r="A172" s="3" t="s">
        <v>717</v>
      </c>
      <c r="B172" s="3" t="s">
        <v>718</v>
      </c>
      <c r="C172" s="3">
        <v>1026300447</v>
      </c>
      <c r="D172" s="3" t="s">
        <v>288</v>
      </c>
      <c r="E172" s="3" t="s">
        <v>719</v>
      </c>
      <c r="F172" s="3" t="s">
        <v>720</v>
      </c>
      <c r="G172" s="3">
        <v>89</v>
      </c>
      <c r="H172" s="3" t="s">
        <v>69</v>
      </c>
      <c r="I172" s="3" t="s">
        <v>33</v>
      </c>
      <c r="J172" s="3" t="s">
        <v>34</v>
      </c>
      <c r="K172" s="3"/>
      <c r="L172" s="3"/>
      <c r="M172" s="3"/>
      <c r="N172" s="3" t="s">
        <v>35</v>
      </c>
      <c r="O172" s="3" t="s">
        <v>36</v>
      </c>
      <c r="P172" s="4">
        <v>45917.33520833333</v>
      </c>
      <c r="Q172" s="3">
        <v>7777777</v>
      </c>
      <c r="R172" s="3" t="s">
        <v>37</v>
      </c>
      <c r="S172" s="3"/>
      <c r="T172" s="3"/>
      <c r="U172" s="5" t="s">
        <v>38</v>
      </c>
      <c r="V172" s="3"/>
      <c r="W172" s="3" t="s">
        <v>60</v>
      </c>
      <c r="X172" s="3" t="s">
        <v>41</v>
      </c>
      <c r="Y172" s="3" t="s">
        <v>41</v>
      </c>
      <c r="Z172" s="3" t="s">
        <v>42</v>
      </c>
      <c r="AA172" s="3" t="s">
        <v>43</v>
      </c>
      <c r="AB172" s="3" t="s">
        <v>40</v>
      </c>
      <c r="AC172" t="str">
        <f>IFERROR(VLOOKUP(C172,MigradosEfectivamente!B:B,1,FALSE),"No encontrado")</f>
        <v>No encontrado</v>
      </c>
    </row>
    <row r="173" spans="1:29" ht="60" x14ac:dyDescent="0.25">
      <c r="A173" s="3" t="s">
        <v>721</v>
      </c>
      <c r="B173" s="3" t="s">
        <v>722</v>
      </c>
      <c r="C173" s="3">
        <v>1070593883</v>
      </c>
      <c r="D173" s="3" t="s">
        <v>723</v>
      </c>
      <c r="E173" s="3">
        <v>3124940804</v>
      </c>
      <c r="F173" s="3" t="s">
        <v>724</v>
      </c>
      <c r="G173" s="3">
        <v>89</v>
      </c>
      <c r="H173" s="3" t="s">
        <v>97</v>
      </c>
      <c r="I173" s="3" t="s">
        <v>33</v>
      </c>
      <c r="J173" s="3" t="s">
        <v>34</v>
      </c>
      <c r="K173" s="3"/>
      <c r="L173" s="3"/>
      <c r="M173" s="3"/>
      <c r="N173" s="3" t="s">
        <v>35</v>
      </c>
      <c r="O173" s="3" t="s">
        <v>36</v>
      </c>
      <c r="P173" s="4">
        <v>45917.334236111114</v>
      </c>
      <c r="Q173" s="3">
        <v>7777777</v>
      </c>
      <c r="R173" s="3" t="s">
        <v>37</v>
      </c>
      <c r="S173" s="3"/>
      <c r="T173" s="3"/>
      <c r="U173" s="5" t="s">
        <v>38</v>
      </c>
      <c r="V173" s="3"/>
      <c r="W173" s="3" t="s">
        <v>60</v>
      </c>
      <c r="X173" s="3" t="s">
        <v>41</v>
      </c>
      <c r="Y173" s="3" t="s">
        <v>41</v>
      </c>
      <c r="Z173" s="3" t="s">
        <v>42</v>
      </c>
      <c r="AA173" s="3" t="s">
        <v>43</v>
      </c>
      <c r="AB173" s="3" t="s">
        <v>40</v>
      </c>
      <c r="AC173" t="str">
        <f>IFERROR(VLOOKUP(C173,MigradosEfectivamente!B:B,1,FALSE),"No encontrado")</f>
        <v>No encontrado</v>
      </c>
    </row>
    <row r="174" spans="1:29" ht="60" x14ac:dyDescent="0.25">
      <c r="A174" s="3" t="s">
        <v>725</v>
      </c>
      <c r="B174" s="3" t="s">
        <v>726</v>
      </c>
      <c r="C174" s="3">
        <v>1005290616</v>
      </c>
      <c r="D174" s="3" t="s">
        <v>169</v>
      </c>
      <c r="E174" s="3">
        <v>3041173055</v>
      </c>
      <c r="F174" s="3" t="s">
        <v>727</v>
      </c>
      <c r="G174" s="3">
        <v>99</v>
      </c>
      <c r="H174" s="3" t="s">
        <v>54</v>
      </c>
      <c r="I174" s="3" t="s">
        <v>82</v>
      </c>
      <c r="J174" s="3" t="s">
        <v>34</v>
      </c>
      <c r="K174" s="3"/>
      <c r="L174" s="3"/>
      <c r="M174" s="3"/>
      <c r="N174" s="3" t="s">
        <v>35</v>
      </c>
      <c r="O174" s="3" t="s">
        <v>83</v>
      </c>
      <c r="P174" s="4">
        <v>45917.333819444444</v>
      </c>
      <c r="Q174" s="3">
        <v>7777777</v>
      </c>
      <c r="R174" s="3" t="s">
        <v>37</v>
      </c>
      <c r="S174" s="3"/>
      <c r="T174" s="3"/>
      <c r="U174" s="5" t="s">
        <v>38</v>
      </c>
      <c r="V174" s="3"/>
      <c r="W174" s="3" t="s">
        <v>60</v>
      </c>
      <c r="X174" s="3" t="s">
        <v>40</v>
      </c>
      <c r="Y174" s="3" t="s">
        <v>41</v>
      </c>
      <c r="Z174" s="3" t="s">
        <v>42</v>
      </c>
      <c r="AA174" s="3" t="s">
        <v>43</v>
      </c>
      <c r="AB174" s="3" t="s">
        <v>40</v>
      </c>
      <c r="AC174" t="str">
        <f>IFERROR(VLOOKUP(C174,MigradosEfectivamente!B:B,1,FALSE),"No encontrado")</f>
        <v>No encontrado</v>
      </c>
    </row>
    <row r="175" spans="1:29" ht="60" x14ac:dyDescent="0.25">
      <c r="A175" s="3">
        <v>23368</v>
      </c>
      <c r="B175" s="3" t="s">
        <v>728</v>
      </c>
      <c r="C175" s="3">
        <v>1095838453</v>
      </c>
      <c r="D175" s="3" t="s">
        <v>169</v>
      </c>
      <c r="E175" s="3">
        <v>3117029457</v>
      </c>
      <c r="F175" s="3" t="s">
        <v>729</v>
      </c>
      <c r="G175" s="3">
        <v>89</v>
      </c>
      <c r="H175" s="3" t="s">
        <v>269</v>
      </c>
      <c r="I175" s="3" t="s">
        <v>33</v>
      </c>
      <c r="J175" s="3" t="s">
        <v>34</v>
      </c>
      <c r="K175" s="3"/>
      <c r="L175" s="3"/>
      <c r="M175" s="3"/>
      <c r="N175" s="3" t="s">
        <v>35</v>
      </c>
      <c r="O175" s="3" t="s">
        <v>36</v>
      </c>
      <c r="P175" s="4">
        <v>45916.877754629626</v>
      </c>
      <c r="Q175" s="3">
        <v>7777777</v>
      </c>
      <c r="R175" s="3" t="s">
        <v>37</v>
      </c>
      <c r="S175" s="3"/>
      <c r="T175" s="3"/>
      <c r="U175" s="5" t="s">
        <v>38</v>
      </c>
      <c r="V175" s="3"/>
      <c r="W175" s="3" t="s">
        <v>60</v>
      </c>
      <c r="X175" s="3" t="s">
        <v>40</v>
      </c>
      <c r="Y175" s="3" t="s">
        <v>41</v>
      </c>
      <c r="Z175" s="3" t="s">
        <v>42</v>
      </c>
      <c r="AA175" s="3" t="s">
        <v>49</v>
      </c>
      <c r="AB175" s="3" t="s">
        <v>40</v>
      </c>
      <c r="AC175" t="str">
        <f>IFERROR(VLOOKUP(C175,MigradosEfectivamente!B:B,1,FALSE),"No encontrado")</f>
        <v>No encontrado</v>
      </c>
    </row>
    <row r="176" spans="1:29" ht="15" x14ac:dyDescent="0.25">
      <c r="A176" s="3">
        <v>23364</v>
      </c>
      <c r="B176" s="3" t="s">
        <v>730</v>
      </c>
      <c r="C176" s="3">
        <v>1102355150</v>
      </c>
      <c r="D176" s="3" t="s">
        <v>169</v>
      </c>
      <c r="E176" s="3">
        <v>3209641527</v>
      </c>
      <c r="F176" s="3" t="s">
        <v>731</v>
      </c>
      <c r="G176" s="3">
        <v>500</v>
      </c>
      <c r="H176" s="3" t="s">
        <v>425</v>
      </c>
      <c r="I176" s="3" t="s">
        <v>431</v>
      </c>
      <c r="J176" s="3" t="s">
        <v>34</v>
      </c>
      <c r="K176" s="3"/>
      <c r="L176" s="3"/>
      <c r="M176" s="3"/>
      <c r="N176" s="3" t="s">
        <v>35</v>
      </c>
      <c r="O176" s="3" t="s">
        <v>732</v>
      </c>
      <c r="P176" s="4">
        <v>45916.714062500003</v>
      </c>
      <c r="Q176" s="3">
        <v>1095923013</v>
      </c>
      <c r="R176" s="3" t="s">
        <v>733</v>
      </c>
      <c r="S176" s="3"/>
      <c r="T176" s="3"/>
      <c r="U176" s="5" t="s">
        <v>38</v>
      </c>
      <c r="V176" s="3"/>
      <c r="W176" s="3" t="s">
        <v>734</v>
      </c>
      <c r="X176" s="3" t="s">
        <v>40</v>
      </c>
      <c r="Y176" s="3" t="s">
        <v>41</v>
      </c>
      <c r="Z176" s="3" t="s">
        <v>70</v>
      </c>
      <c r="AA176" s="3" t="s">
        <v>49</v>
      </c>
      <c r="AB176" s="3" t="s">
        <v>41</v>
      </c>
      <c r="AC176" t="str">
        <f>IFERROR(VLOOKUP(C176,MigradosEfectivamente!B:B,1,FALSE),"No encontrado")</f>
        <v>No encontrado</v>
      </c>
    </row>
    <row r="177" spans="1:29" ht="45" x14ac:dyDescent="0.25">
      <c r="A177" s="3" t="s">
        <v>735</v>
      </c>
      <c r="B177" s="3" t="s">
        <v>736</v>
      </c>
      <c r="C177" s="3">
        <v>1095582094</v>
      </c>
      <c r="D177" s="3" t="s">
        <v>90</v>
      </c>
      <c r="E177" s="3">
        <v>3246675249</v>
      </c>
      <c r="F177" s="3" t="s">
        <v>737</v>
      </c>
      <c r="G177" s="3">
        <v>89</v>
      </c>
      <c r="H177" s="3" t="s">
        <v>32</v>
      </c>
      <c r="I177" s="3" t="s">
        <v>33</v>
      </c>
      <c r="J177" s="3" t="s">
        <v>34</v>
      </c>
      <c r="K177" s="3"/>
      <c r="L177" s="3"/>
      <c r="M177" s="3"/>
      <c r="N177" s="3" t="s">
        <v>35</v>
      </c>
      <c r="O177" s="3" t="s">
        <v>36</v>
      </c>
      <c r="P177" s="4">
        <v>45916.601145833331</v>
      </c>
      <c r="Q177" s="3">
        <v>7777777</v>
      </c>
      <c r="R177" s="3" t="s">
        <v>37</v>
      </c>
      <c r="S177" s="3"/>
      <c r="T177" s="3"/>
      <c r="U177" s="5" t="s">
        <v>38</v>
      </c>
      <c r="V177" s="3"/>
      <c r="W177" s="3" t="s">
        <v>39</v>
      </c>
      <c r="X177" s="3" t="s">
        <v>40</v>
      </c>
      <c r="Y177" s="3" t="s">
        <v>41</v>
      </c>
      <c r="Z177" s="3" t="s">
        <v>42</v>
      </c>
      <c r="AA177" s="3" t="s">
        <v>43</v>
      </c>
      <c r="AB177" s="3" t="s">
        <v>40</v>
      </c>
      <c r="AC177" t="str">
        <f>IFERROR(VLOOKUP(C177,MigradosEfectivamente!B:B,1,FALSE),"No encontrado")</f>
        <v>No encontrado</v>
      </c>
    </row>
    <row r="178" spans="1:29" ht="60" x14ac:dyDescent="0.25">
      <c r="A178" s="3" t="s">
        <v>738</v>
      </c>
      <c r="B178" s="3" t="s">
        <v>739</v>
      </c>
      <c r="C178" s="3">
        <v>1007900662</v>
      </c>
      <c r="D178" s="3" t="s">
        <v>740</v>
      </c>
      <c r="E178" s="3">
        <v>3214611907</v>
      </c>
      <c r="F178" s="3" t="s">
        <v>741</v>
      </c>
      <c r="G178" s="3">
        <v>99</v>
      </c>
      <c r="H178" s="3" t="s">
        <v>32</v>
      </c>
      <c r="I178" s="3" t="s">
        <v>82</v>
      </c>
      <c r="J178" s="3" t="s">
        <v>34</v>
      </c>
      <c r="K178" s="3"/>
      <c r="L178" s="3"/>
      <c r="M178" s="3"/>
      <c r="N178" s="3" t="s">
        <v>35</v>
      </c>
      <c r="O178" s="3" t="s">
        <v>83</v>
      </c>
      <c r="P178" s="4">
        <v>45916.586423611108</v>
      </c>
      <c r="Q178" s="3">
        <v>7777777</v>
      </c>
      <c r="R178" s="3" t="s">
        <v>37</v>
      </c>
      <c r="S178" s="3"/>
      <c r="T178" s="3"/>
      <c r="U178" s="5" t="s">
        <v>38</v>
      </c>
      <c r="V178" s="3"/>
      <c r="W178" s="3" t="s">
        <v>60</v>
      </c>
      <c r="X178" s="3" t="s">
        <v>40</v>
      </c>
      <c r="Y178" s="3" t="s">
        <v>41</v>
      </c>
      <c r="Z178" s="3" t="s">
        <v>42</v>
      </c>
      <c r="AA178" s="3" t="s">
        <v>43</v>
      </c>
      <c r="AB178" s="3" t="s">
        <v>40</v>
      </c>
      <c r="AC178" t="str">
        <f>IFERROR(VLOOKUP(C178,MigradosEfectivamente!B:B,1,FALSE),"No encontrado")</f>
        <v>No encontrado</v>
      </c>
    </row>
    <row r="179" spans="1:29" ht="60" x14ac:dyDescent="0.25">
      <c r="A179" s="3" t="s">
        <v>742</v>
      </c>
      <c r="B179" s="3" t="s">
        <v>743</v>
      </c>
      <c r="C179" s="3">
        <v>1091359913</v>
      </c>
      <c r="D179" s="3" t="s">
        <v>744</v>
      </c>
      <c r="E179" s="3">
        <v>3132678365</v>
      </c>
      <c r="F179" s="3" t="s">
        <v>745</v>
      </c>
      <c r="G179" s="3">
        <v>89</v>
      </c>
      <c r="H179" s="3" t="s">
        <v>69</v>
      </c>
      <c r="I179" s="3" t="s">
        <v>119</v>
      </c>
      <c r="J179" s="3" t="s">
        <v>34</v>
      </c>
      <c r="K179" s="3"/>
      <c r="L179" s="3"/>
      <c r="M179" s="3"/>
      <c r="N179" s="3" t="s">
        <v>35</v>
      </c>
      <c r="O179" s="3" t="s">
        <v>36</v>
      </c>
      <c r="P179" s="4">
        <v>45916.500150462962</v>
      </c>
      <c r="Q179" s="3">
        <v>7777777</v>
      </c>
      <c r="R179" s="3" t="s">
        <v>37</v>
      </c>
      <c r="S179" s="3"/>
      <c r="T179" s="3"/>
      <c r="U179" s="5" t="s">
        <v>38</v>
      </c>
      <c r="V179" s="3"/>
      <c r="W179" s="3" t="s">
        <v>60</v>
      </c>
      <c r="X179" s="3" t="s">
        <v>41</v>
      </c>
      <c r="Y179" s="3" t="s">
        <v>40</v>
      </c>
      <c r="Z179" s="3" t="s">
        <v>42</v>
      </c>
      <c r="AA179" s="3" t="s">
        <v>49</v>
      </c>
      <c r="AB179" s="3" t="s">
        <v>40</v>
      </c>
      <c r="AC179" t="str">
        <f>IFERROR(VLOOKUP(C179,MigradosEfectivamente!B:B,1,FALSE),"No encontrado")</f>
        <v>No encontrado</v>
      </c>
    </row>
    <row r="180" spans="1:29" ht="45" x14ac:dyDescent="0.25">
      <c r="A180" s="3" t="s">
        <v>746</v>
      </c>
      <c r="B180" s="3" t="s">
        <v>747</v>
      </c>
      <c r="C180" s="3">
        <v>1092941396</v>
      </c>
      <c r="D180" s="3" t="s">
        <v>288</v>
      </c>
      <c r="E180" s="3" t="s">
        <v>748</v>
      </c>
      <c r="F180" s="3" t="s">
        <v>749</v>
      </c>
      <c r="G180" s="3">
        <v>89</v>
      </c>
      <c r="H180" s="3" t="s">
        <v>69</v>
      </c>
      <c r="I180" s="3" t="s">
        <v>33</v>
      </c>
      <c r="J180" s="3" t="s">
        <v>34</v>
      </c>
      <c r="K180" s="3"/>
      <c r="L180" s="3"/>
      <c r="M180" s="3"/>
      <c r="N180" s="3" t="s">
        <v>35</v>
      </c>
      <c r="O180" s="3" t="s">
        <v>36</v>
      </c>
      <c r="P180" s="4">
        <v>45916.475474537037</v>
      </c>
      <c r="Q180" s="3">
        <v>7777777</v>
      </c>
      <c r="R180" s="3" t="s">
        <v>37</v>
      </c>
      <c r="S180" s="3"/>
      <c r="T180" s="3"/>
      <c r="U180" s="5" t="s">
        <v>38</v>
      </c>
      <c r="V180" s="3"/>
      <c r="W180" s="3" t="s">
        <v>39</v>
      </c>
      <c r="X180" s="3" t="s">
        <v>40</v>
      </c>
      <c r="Y180" s="3" t="s">
        <v>41</v>
      </c>
      <c r="Z180" s="3" t="s">
        <v>42</v>
      </c>
      <c r="AA180" s="3" t="s">
        <v>49</v>
      </c>
      <c r="AB180" s="3" t="s">
        <v>40</v>
      </c>
      <c r="AC180" t="str">
        <f>IFERROR(VLOOKUP(C180,MigradosEfectivamente!B:B,1,FALSE),"No encontrado")</f>
        <v>No encontrado</v>
      </c>
    </row>
    <row r="181" spans="1:29" ht="60" x14ac:dyDescent="0.25">
      <c r="A181" s="3" t="s">
        <v>750</v>
      </c>
      <c r="B181" s="3" t="s">
        <v>751</v>
      </c>
      <c r="C181" s="3">
        <v>1098798403</v>
      </c>
      <c r="D181" s="3" t="s">
        <v>752</v>
      </c>
      <c r="E181" s="3">
        <v>3002638568</v>
      </c>
      <c r="F181" s="3" t="s">
        <v>753</v>
      </c>
      <c r="G181" s="3">
        <v>89</v>
      </c>
      <c r="H181" s="3" t="s">
        <v>97</v>
      </c>
      <c r="I181" s="3" t="s">
        <v>82</v>
      </c>
      <c r="J181" s="3" t="s">
        <v>34</v>
      </c>
      <c r="K181" s="3"/>
      <c r="L181" s="3"/>
      <c r="M181" s="3"/>
      <c r="N181" s="3" t="s">
        <v>35</v>
      </c>
      <c r="O181" s="3" t="s">
        <v>36</v>
      </c>
      <c r="P181" s="4">
        <v>45916.336111111108</v>
      </c>
      <c r="Q181" s="3">
        <v>7777777</v>
      </c>
      <c r="R181" s="3" t="s">
        <v>37</v>
      </c>
      <c r="S181" s="3"/>
      <c r="T181" s="3"/>
      <c r="U181" s="5" t="s">
        <v>38</v>
      </c>
      <c r="V181" s="3"/>
      <c r="W181" s="3" t="s">
        <v>60</v>
      </c>
      <c r="X181" s="3" t="s">
        <v>41</v>
      </c>
      <c r="Y181" s="3" t="s">
        <v>41</v>
      </c>
      <c r="Z181" s="3" t="s">
        <v>42</v>
      </c>
      <c r="AA181" s="3" t="s">
        <v>43</v>
      </c>
      <c r="AB181" s="3" t="s">
        <v>40</v>
      </c>
      <c r="AC181" t="str">
        <f>IFERROR(VLOOKUP(C181,MigradosEfectivamente!B:B,1,FALSE),"No encontrado")</f>
        <v>No encontrado</v>
      </c>
    </row>
    <row r="182" spans="1:29" ht="60" x14ac:dyDescent="0.25">
      <c r="A182" s="3" t="s">
        <v>754</v>
      </c>
      <c r="B182" s="3" t="s">
        <v>755</v>
      </c>
      <c r="C182" s="3">
        <v>1096062473</v>
      </c>
      <c r="D182" s="3" t="s">
        <v>108</v>
      </c>
      <c r="E182" s="3" t="s">
        <v>756</v>
      </c>
      <c r="F182" s="3" t="s">
        <v>757</v>
      </c>
      <c r="G182" s="3">
        <v>99</v>
      </c>
      <c r="H182" s="3" t="s">
        <v>110</v>
      </c>
      <c r="I182" s="3" t="s">
        <v>82</v>
      </c>
      <c r="J182" s="3" t="s">
        <v>34</v>
      </c>
      <c r="K182" s="3"/>
      <c r="L182" s="3"/>
      <c r="M182" s="3"/>
      <c r="N182" s="3" t="s">
        <v>35</v>
      </c>
      <c r="O182" s="3" t="s">
        <v>83</v>
      </c>
      <c r="P182" s="4">
        <v>45916.333819444444</v>
      </c>
      <c r="Q182" s="3">
        <v>7777777</v>
      </c>
      <c r="R182" s="3" t="s">
        <v>37</v>
      </c>
      <c r="S182" s="3"/>
      <c r="T182" s="3"/>
      <c r="U182" s="5" t="s">
        <v>38</v>
      </c>
      <c r="V182" s="3"/>
      <c r="W182" s="3" t="s">
        <v>60</v>
      </c>
      <c r="X182" s="3" t="s">
        <v>40</v>
      </c>
      <c r="Y182" s="3" t="s">
        <v>41</v>
      </c>
      <c r="Z182" s="3" t="s">
        <v>42</v>
      </c>
      <c r="AA182" s="3" t="s">
        <v>49</v>
      </c>
      <c r="AB182" s="3" t="s">
        <v>40</v>
      </c>
      <c r="AC182">
        <f>IFERROR(VLOOKUP(C182,MigradosEfectivamente!B:B,1,FALSE),"No encontrado")</f>
        <v>1096062473</v>
      </c>
    </row>
    <row r="183" spans="1:29" ht="60" x14ac:dyDescent="0.25">
      <c r="A183" s="3" t="s">
        <v>758</v>
      </c>
      <c r="B183" s="3" t="s">
        <v>759</v>
      </c>
      <c r="C183" s="3">
        <v>1093294413</v>
      </c>
      <c r="D183" s="3" t="s">
        <v>760</v>
      </c>
      <c r="E183" s="3">
        <v>3028558518</v>
      </c>
      <c r="F183" s="3" t="s">
        <v>761</v>
      </c>
      <c r="G183" s="3">
        <v>99</v>
      </c>
      <c r="H183" s="3" t="s">
        <v>69</v>
      </c>
      <c r="I183" s="3" t="s">
        <v>82</v>
      </c>
      <c r="J183" s="3" t="s">
        <v>34</v>
      </c>
      <c r="K183" s="3"/>
      <c r="L183" s="3"/>
      <c r="M183" s="3"/>
      <c r="N183" s="3" t="s">
        <v>35</v>
      </c>
      <c r="O183" s="3" t="s">
        <v>83</v>
      </c>
      <c r="P183" s="4">
        <v>45915.881504629629</v>
      </c>
      <c r="Q183" s="3">
        <v>7777777</v>
      </c>
      <c r="R183" s="3" t="s">
        <v>37</v>
      </c>
      <c r="S183" s="3"/>
      <c r="T183" s="3"/>
      <c r="U183" s="5" t="s">
        <v>38</v>
      </c>
      <c r="V183" s="3"/>
      <c r="W183" s="3" t="s">
        <v>60</v>
      </c>
      <c r="X183" s="3" t="s">
        <v>41</v>
      </c>
      <c r="Y183" s="3" t="s">
        <v>41</v>
      </c>
      <c r="Z183" s="3" t="s">
        <v>42</v>
      </c>
      <c r="AA183" s="3" t="s">
        <v>49</v>
      </c>
      <c r="AB183" s="3" t="s">
        <v>40</v>
      </c>
      <c r="AC183" t="str">
        <f>IFERROR(VLOOKUP(C183,MigradosEfectivamente!B:B,1,FALSE),"No encontrado")</f>
        <v>No encontrado</v>
      </c>
    </row>
    <row r="184" spans="1:29" ht="45" x14ac:dyDescent="0.25">
      <c r="A184" s="3">
        <v>23351</v>
      </c>
      <c r="B184" s="3" t="s">
        <v>762</v>
      </c>
      <c r="C184" s="3">
        <v>1099550035</v>
      </c>
      <c r="D184" s="3" t="s">
        <v>763</v>
      </c>
      <c r="E184" s="3">
        <v>3124362787</v>
      </c>
      <c r="F184" s="3" t="s">
        <v>764</v>
      </c>
      <c r="G184" s="3">
        <v>89</v>
      </c>
      <c r="H184" s="3" t="s">
        <v>269</v>
      </c>
      <c r="I184" s="3" t="s">
        <v>33</v>
      </c>
      <c r="J184" s="3" t="s">
        <v>34</v>
      </c>
      <c r="K184" s="3"/>
      <c r="L184" s="3"/>
      <c r="M184" s="3"/>
      <c r="N184" s="3" t="s">
        <v>35</v>
      </c>
      <c r="O184" s="3" t="s">
        <v>36</v>
      </c>
      <c r="P184" s="4">
        <v>45915.881249999999</v>
      </c>
      <c r="Q184" s="3">
        <v>7777777</v>
      </c>
      <c r="R184" s="3" t="s">
        <v>37</v>
      </c>
      <c r="S184" s="3"/>
      <c r="T184" s="3"/>
      <c r="U184" s="5" t="s">
        <v>38</v>
      </c>
      <c r="V184" s="3"/>
      <c r="W184" s="3" t="s">
        <v>39</v>
      </c>
      <c r="X184" s="3" t="s">
        <v>40</v>
      </c>
      <c r="Y184" s="3" t="s">
        <v>41</v>
      </c>
      <c r="Z184" s="3" t="s">
        <v>92</v>
      </c>
      <c r="AA184" s="3" t="s">
        <v>49</v>
      </c>
      <c r="AB184" s="3" t="s">
        <v>40</v>
      </c>
      <c r="AC184" t="str">
        <f>IFERROR(VLOOKUP(C184,MigradosEfectivamente!B:B,1,FALSE),"No encontrado")</f>
        <v>No encontrado</v>
      </c>
    </row>
    <row r="185" spans="1:29" ht="60" x14ac:dyDescent="0.25">
      <c r="A185" s="3" t="s">
        <v>765</v>
      </c>
      <c r="B185" s="3" t="s">
        <v>766</v>
      </c>
      <c r="C185" s="3">
        <v>1007325309</v>
      </c>
      <c r="D185" s="3" t="s">
        <v>169</v>
      </c>
      <c r="E185" s="3" t="s">
        <v>767</v>
      </c>
      <c r="F185" s="3" t="s">
        <v>768</v>
      </c>
      <c r="G185" s="3">
        <v>89</v>
      </c>
      <c r="H185" s="3" t="s">
        <v>54</v>
      </c>
      <c r="I185" s="3" t="s">
        <v>33</v>
      </c>
      <c r="J185" s="3" t="s">
        <v>34</v>
      </c>
      <c r="K185" s="3"/>
      <c r="L185" s="3"/>
      <c r="M185" s="3"/>
      <c r="N185" s="3" t="s">
        <v>35</v>
      </c>
      <c r="O185" s="3" t="s">
        <v>36</v>
      </c>
      <c r="P185" s="4">
        <v>45915.881053240744</v>
      </c>
      <c r="Q185" s="3">
        <v>7777777</v>
      </c>
      <c r="R185" s="3" t="s">
        <v>37</v>
      </c>
      <c r="S185" s="3"/>
      <c r="T185" s="3"/>
      <c r="U185" s="5" t="s">
        <v>38</v>
      </c>
      <c r="V185" s="3"/>
      <c r="W185" s="3" t="s">
        <v>60</v>
      </c>
      <c r="X185" s="3" t="s">
        <v>40</v>
      </c>
      <c r="Y185" s="3" t="s">
        <v>41</v>
      </c>
      <c r="Z185" s="3" t="s">
        <v>42</v>
      </c>
      <c r="AA185" s="3" t="s">
        <v>49</v>
      </c>
      <c r="AB185" s="3" t="s">
        <v>40</v>
      </c>
      <c r="AC185" t="str">
        <f>IFERROR(VLOOKUP(C185,MigradosEfectivamente!B:B,1,FALSE),"No encontrado")</f>
        <v>No encontrado</v>
      </c>
    </row>
    <row r="186" spans="1:29" ht="60" x14ac:dyDescent="0.25">
      <c r="A186" s="3" t="s">
        <v>769</v>
      </c>
      <c r="B186" s="3" t="s">
        <v>770</v>
      </c>
      <c r="C186" s="3">
        <v>1006011588</v>
      </c>
      <c r="D186" s="3" t="s">
        <v>771</v>
      </c>
      <c r="E186" s="3">
        <v>3216770661</v>
      </c>
      <c r="F186" s="3" t="s">
        <v>772</v>
      </c>
      <c r="G186" s="3">
        <v>89</v>
      </c>
      <c r="H186" s="3" t="s">
        <v>48</v>
      </c>
      <c r="I186" s="3" t="s">
        <v>33</v>
      </c>
      <c r="J186" s="3" t="s">
        <v>34</v>
      </c>
      <c r="K186" s="3"/>
      <c r="L186" s="3"/>
      <c r="M186" s="3"/>
      <c r="N186" s="3" t="s">
        <v>35</v>
      </c>
      <c r="O186" s="3" t="s">
        <v>36</v>
      </c>
      <c r="P186" s="4">
        <v>45915.878946759258</v>
      </c>
      <c r="Q186" s="3">
        <v>7777777</v>
      </c>
      <c r="R186" s="3" t="s">
        <v>37</v>
      </c>
      <c r="S186" s="3"/>
      <c r="T186" s="3"/>
      <c r="U186" s="5" t="s">
        <v>38</v>
      </c>
      <c r="V186" s="3"/>
      <c r="W186" s="3" t="s">
        <v>60</v>
      </c>
      <c r="X186" s="3" t="s">
        <v>41</v>
      </c>
      <c r="Y186" s="3" t="s">
        <v>41</v>
      </c>
      <c r="Z186" s="3" t="s">
        <v>42</v>
      </c>
      <c r="AA186" s="3" t="s">
        <v>49</v>
      </c>
      <c r="AB186" s="3" t="s">
        <v>40</v>
      </c>
      <c r="AC186" t="str">
        <f>IFERROR(VLOOKUP(C186,MigradosEfectivamente!B:B,1,FALSE),"No encontrado")</f>
        <v>No encontrado</v>
      </c>
    </row>
    <row r="187" spans="1:29" ht="60" x14ac:dyDescent="0.25">
      <c r="A187" s="3" t="s">
        <v>773</v>
      </c>
      <c r="B187" s="3" t="s">
        <v>774</v>
      </c>
      <c r="C187" s="3">
        <v>1127052784</v>
      </c>
      <c r="D187" s="3" t="s">
        <v>169</v>
      </c>
      <c r="E187" s="3">
        <v>3174507675</v>
      </c>
      <c r="F187" s="3" t="s">
        <v>775</v>
      </c>
      <c r="G187" s="3">
        <v>89</v>
      </c>
      <c r="H187" s="3" t="s">
        <v>54</v>
      </c>
      <c r="I187" s="3" t="s">
        <v>33</v>
      </c>
      <c r="J187" s="3" t="s">
        <v>34</v>
      </c>
      <c r="K187" s="3"/>
      <c r="L187" s="3"/>
      <c r="M187" s="3"/>
      <c r="N187" s="3" t="s">
        <v>35</v>
      </c>
      <c r="O187" s="3" t="s">
        <v>36</v>
      </c>
      <c r="P187" s="4">
        <v>45915.876111111109</v>
      </c>
      <c r="Q187" s="3">
        <v>7777777</v>
      </c>
      <c r="R187" s="3" t="s">
        <v>37</v>
      </c>
      <c r="S187" s="3"/>
      <c r="T187" s="3"/>
      <c r="U187" s="5" t="s">
        <v>38</v>
      </c>
      <c r="V187" s="3"/>
      <c r="W187" s="3" t="s">
        <v>60</v>
      </c>
      <c r="X187" s="3" t="s">
        <v>41</v>
      </c>
      <c r="Y187" s="3" t="s">
        <v>41</v>
      </c>
      <c r="Z187" s="3" t="s">
        <v>42</v>
      </c>
      <c r="AA187" s="3" t="s">
        <v>49</v>
      </c>
      <c r="AB187" s="3" t="s">
        <v>40</v>
      </c>
      <c r="AC187" t="str">
        <f>IFERROR(VLOOKUP(C187,MigradosEfectivamente!B:B,1,FALSE),"No encontrado")</f>
        <v>No encontrado</v>
      </c>
    </row>
    <row r="188" spans="1:29" ht="45" x14ac:dyDescent="0.25">
      <c r="A188" s="3" t="s">
        <v>776</v>
      </c>
      <c r="B188" s="3" t="s">
        <v>777</v>
      </c>
      <c r="C188" s="3">
        <v>1098744669</v>
      </c>
      <c r="D188" s="3" t="s">
        <v>46</v>
      </c>
      <c r="E188" s="3">
        <v>3222691813</v>
      </c>
      <c r="F188" s="3" t="s">
        <v>778</v>
      </c>
      <c r="G188" s="3">
        <v>349</v>
      </c>
      <c r="H188" s="3" t="s">
        <v>48</v>
      </c>
      <c r="I188" s="3" t="s">
        <v>137</v>
      </c>
      <c r="J188" s="3" t="s">
        <v>34</v>
      </c>
      <c r="K188" s="3"/>
      <c r="L188" s="3"/>
      <c r="M188" s="3"/>
      <c r="N188" s="3" t="s">
        <v>35</v>
      </c>
      <c r="O188" s="3" t="s">
        <v>138</v>
      </c>
      <c r="P188" s="4">
        <v>45915.870289351849</v>
      </c>
      <c r="Q188" s="3">
        <v>7777777</v>
      </c>
      <c r="R188" s="3" t="s">
        <v>37</v>
      </c>
      <c r="S188" s="3"/>
      <c r="T188" s="3"/>
      <c r="U188" s="5" t="s">
        <v>38</v>
      </c>
      <c r="V188" s="3"/>
      <c r="W188" s="3" t="s">
        <v>39</v>
      </c>
      <c r="X188" s="3" t="s">
        <v>41</v>
      </c>
      <c r="Y188" s="3" t="s">
        <v>41</v>
      </c>
      <c r="Z188" s="3" t="s">
        <v>42</v>
      </c>
      <c r="AA188" s="3" t="s">
        <v>49</v>
      </c>
      <c r="AB188" s="3" t="s">
        <v>40</v>
      </c>
      <c r="AC188" t="str">
        <f>IFERROR(VLOOKUP(C188,MigradosEfectivamente!B:B,1,FALSE),"No encontrado")</f>
        <v>No encontrado</v>
      </c>
    </row>
    <row r="189" spans="1:29" ht="45" x14ac:dyDescent="0.25">
      <c r="A189" s="3" t="s">
        <v>779</v>
      </c>
      <c r="B189" s="3" t="s">
        <v>780</v>
      </c>
      <c r="C189" s="3">
        <v>1193030440</v>
      </c>
      <c r="D189" s="3" t="s">
        <v>57</v>
      </c>
      <c r="E189" s="3">
        <v>3002264311</v>
      </c>
      <c r="F189" s="3" t="s">
        <v>781</v>
      </c>
      <c r="G189" s="3">
        <v>89</v>
      </c>
      <c r="H189" s="3" t="s">
        <v>110</v>
      </c>
      <c r="I189" s="3" t="s">
        <v>33</v>
      </c>
      <c r="J189" s="3" t="s">
        <v>34</v>
      </c>
      <c r="K189" s="3"/>
      <c r="L189" s="3"/>
      <c r="M189" s="3"/>
      <c r="N189" s="3" t="s">
        <v>35</v>
      </c>
      <c r="O189" s="3" t="s">
        <v>36</v>
      </c>
      <c r="P189" s="4">
        <v>45915.771886574075</v>
      </c>
      <c r="Q189" s="3">
        <v>7777777</v>
      </c>
      <c r="R189" s="3" t="s">
        <v>37</v>
      </c>
      <c r="S189" s="3"/>
      <c r="T189" s="3"/>
      <c r="U189" s="5" t="s">
        <v>38</v>
      </c>
      <c r="V189" s="3"/>
      <c r="W189" s="3" t="s">
        <v>39</v>
      </c>
      <c r="X189" s="3" t="s">
        <v>40</v>
      </c>
      <c r="Y189" s="3" t="s">
        <v>41</v>
      </c>
      <c r="Z189" s="3" t="s">
        <v>70</v>
      </c>
      <c r="AA189" s="3" t="s">
        <v>49</v>
      </c>
      <c r="AB189" s="3" t="s">
        <v>41</v>
      </c>
      <c r="AC189" t="str">
        <f>IFERROR(VLOOKUP(C189,MigradosEfectivamente!B:B,1,FALSE),"No encontrado")</f>
        <v>No encontrado</v>
      </c>
    </row>
    <row r="190" spans="1:29" ht="45" x14ac:dyDescent="0.25">
      <c r="A190" s="3">
        <v>23344</v>
      </c>
      <c r="B190" s="3" t="s">
        <v>782</v>
      </c>
      <c r="C190" s="3">
        <v>6438268</v>
      </c>
      <c r="D190" s="3" t="s">
        <v>59</v>
      </c>
      <c r="E190" s="3" t="s">
        <v>783</v>
      </c>
      <c r="F190" s="3" t="s">
        <v>784</v>
      </c>
      <c r="G190" s="3">
        <v>89</v>
      </c>
      <c r="H190" s="3" t="s">
        <v>269</v>
      </c>
      <c r="I190" s="3" t="s">
        <v>33</v>
      </c>
      <c r="J190" s="3" t="s">
        <v>34</v>
      </c>
      <c r="K190" s="3"/>
      <c r="L190" s="3"/>
      <c r="M190" s="3"/>
      <c r="N190" s="3" t="s">
        <v>35</v>
      </c>
      <c r="O190" s="3" t="s">
        <v>36</v>
      </c>
      <c r="P190" s="4">
        <v>45915.704837962963</v>
      </c>
      <c r="Q190" s="3">
        <v>7777777</v>
      </c>
      <c r="R190" s="3" t="s">
        <v>37</v>
      </c>
      <c r="S190" s="3"/>
      <c r="T190" s="3"/>
      <c r="U190" s="5" t="s">
        <v>38</v>
      </c>
      <c r="V190" s="3"/>
      <c r="W190" s="3" t="s">
        <v>39</v>
      </c>
      <c r="X190" s="3" t="s">
        <v>41</v>
      </c>
      <c r="Y190" s="3" t="s">
        <v>41</v>
      </c>
      <c r="Z190" s="3" t="s">
        <v>70</v>
      </c>
      <c r="AA190" s="3" t="s">
        <v>49</v>
      </c>
      <c r="AB190" s="3" t="s">
        <v>40</v>
      </c>
      <c r="AC190">
        <f>IFERROR(VLOOKUP(C190,MigradosEfectivamente!B:B,1,FALSE),"No encontrado")</f>
        <v>6438268</v>
      </c>
    </row>
    <row r="191" spans="1:29" ht="45" x14ac:dyDescent="0.25">
      <c r="A191" s="3" t="s">
        <v>785</v>
      </c>
      <c r="B191" s="3" t="s">
        <v>786</v>
      </c>
      <c r="C191" s="3">
        <v>1005541998</v>
      </c>
      <c r="D191" s="3" t="s">
        <v>122</v>
      </c>
      <c r="E191" s="3">
        <v>3178541477</v>
      </c>
      <c r="F191" s="3" t="s">
        <v>787</v>
      </c>
      <c r="G191" s="3">
        <v>89</v>
      </c>
      <c r="H191" s="3" t="s">
        <v>59</v>
      </c>
      <c r="I191" s="3" t="s">
        <v>33</v>
      </c>
      <c r="J191" s="3" t="s">
        <v>34</v>
      </c>
      <c r="K191" s="3"/>
      <c r="L191" s="3"/>
      <c r="M191" s="3"/>
      <c r="N191" s="3" t="s">
        <v>35</v>
      </c>
      <c r="O191" s="3" t="s">
        <v>36</v>
      </c>
      <c r="P191" s="4">
        <v>45915.606747685182</v>
      </c>
      <c r="Q191" s="3">
        <v>7777777</v>
      </c>
      <c r="R191" s="3" t="s">
        <v>37</v>
      </c>
      <c r="S191" s="3"/>
      <c r="T191" s="3"/>
      <c r="U191" s="5" t="s">
        <v>38</v>
      </c>
      <c r="V191" s="3"/>
      <c r="W191" s="3" t="s">
        <v>39</v>
      </c>
      <c r="X191" s="3" t="s">
        <v>40</v>
      </c>
      <c r="Y191" s="3" t="s">
        <v>41</v>
      </c>
      <c r="Z191" s="3" t="s">
        <v>42</v>
      </c>
      <c r="AA191" s="3" t="s">
        <v>49</v>
      </c>
      <c r="AB191" s="3" t="s">
        <v>40</v>
      </c>
      <c r="AC191" t="str">
        <f>IFERROR(VLOOKUP(C191,MigradosEfectivamente!B:B,1,FALSE),"No encontrado")</f>
        <v>No encontrado</v>
      </c>
    </row>
    <row r="192" spans="1:29" ht="45" x14ac:dyDescent="0.25">
      <c r="A192" s="3" t="s">
        <v>788</v>
      </c>
      <c r="B192" s="3" t="s">
        <v>789</v>
      </c>
      <c r="C192" s="3">
        <v>1097191630</v>
      </c>
      <c r="D192" s="3">
        <v>0</v>
      </c>
      <c r="E192" s="3">
        <v>3158689842</v>
      </c>
      <c r="F192" s="3" t="s">
        <v>790</v>
      </c>
      <c r="G192" s="3">
        <v>89</v>
      </c>
      <c r="H192" s="3" t="s">
        <v>59</v>
      </c>
      <c r="I192" s="3" t="s">
        <v>33</v>
      </c>
      <c r="J192" s="3" t="s">
        <v>34</v>
      </c>
      <c r="K192" s="3"/>
      <c r="L192" s="3"/>
      <c r="M192" s="3"/>
      <c r="N192" s="3" t="s">
        <v>35</v>
      </c>
      <c r="O192" s="3" t="s">
        <v>36</v>
      </c>
      <c r="P192" s="4">
        <v>45915.39434027778</v>
      </c>
      <c r="Q192" s="3">
        <v>7777777</v>
      </c>
      <c r="R192" s="3" t="s">
        <v>37</v>
      </c>
      <c r="S192" s="3"/>
      <c r="T192" s="3"/>
      <c r="U192" s="5" t="s">
        <v>38</v>
      </c>
      <c r="V192" s="3"/>
      <c r="W192" s="3" t="s">
        <v>39</v>
      </c>
      <c r="X192" s="3" t="s">
        <v>40</v>
      </c>
      <c r="Y192" s="3" t="s">
        <v>41</v>
      </c>
      <c r="Z192" s="3" t="s">
        <v>70</v>
      </c>
      <c r="AA192" s="3" t="s">
        <v>49</v>
      </c>
      <c r="AB192" s="3" t="s">
        <v>41</v>
      </c>
      <c r="AC192" t="str">
        <f>IFERROR(VLOOKUP(C192,MigradosEfectivamente!B:B,1,FALSE),"No encontrado")</f>
        <v>No encontrado</v>
      </c>
    </row>
    <row r="193" spans="1:29" ht="45" x14ac:dyDescent="0.25">
      <c r="A193" s="3" t="s">
        <v>791</v>
      </c>
      <c r="B193" s="3" t="s">
        <v>792</v>
      </c>
      <c r="C193" s="3">
        <v>1013038054</v>
      </c>
      <c r="D193" s="3" t="s">
        <v>169</v>
      </c>
      <c r="E193" s="3" t="s">
        <v>793</v>
      </c>
      <c r="F193" s="3" t="s">
        <v>234</v>
      </c>
      <c r="G193" s="3">
        <v>99</v>
      </c>
      <c r="H193" s="3" t="s">
        <v>110</v>
      </c>
      <c r="I193" s="3" t="s">
        <v>82</v>
      </c>
      <c r="J193" s="3" t="s">
        <v>34</v>
      </c>
      <c r="K193" s="3"/>
      <c r="L193" s="3"/>
      <c r="M193" s="3"/>
      <c r="N193" s="3" t="s">
        <v>35</v>
      </c>
      <c r="O193" s="3" t="s">
        <v>83</v>
      </c>
      <c r="P193" s="4">
        <v>45914.946712962963</v>
      </c>
      <c r="Q193" s="3">
        <v>7777777</v>
      </c>
      <c r="R193" s="3" t="s">
        <v>37</v>
      </c>
      <c r="S193" s="3"/>
      <c r="T193" s="3"/>
      <c r="U193" s="5" t="s">
        <v>38</v>
      </c>
      <c r="V193" s="3"/>
      <c r="W193" s="3" t="s">
        <v>39</v>
      </c>
      <c r="X193" s="3" t="s">
        <v>41</v>
      </c>
      <c r="Y193" s="3" t="s">
        <v>41</v>
      </c>
      <c r="Z193" s="3" t="s">
        <v>70</v>
      </c>
      <c r="AA193" s="3" t="s">
        <v>49</v>
      </c>
      <c r="AB193" s="3" t="s">
        <v>40</v>
      </c>
      <c r="AC193" t="str">
        <f>IFERROR(VLOOKUP(C193,MigradosEfectivamente!B:B,1,FALSE),"No encontrado")</f>
        <v>No encontrado</v>
      </c>
    </row>
    <row r="194" spans="1:29" ht="45" x14ac:dyDescent="0.25">
      <c r="A194" s="3" t="s">
        <v>794</v>
      </c>
      <c r="B194" s="3" t="s">
        <v>795</v>
      </c>
      <c r="C194" s="3">
        <v>1098834508</v>
      </c>
      <c r="D194" s="3" t="s">
        <v>46</v>
      </c>
      <c r="E194" s="3">
        <v>3168892244</v>
      </c>
      <c r="F194" s="3" t="s">
        <v>796</v>
      </c>
      <c r="G194" s="3">
        <v>89</v>
      </c>
      <c r="H194" s="3" t="s">
        <v>48</v>
      </c>
      <c r="I194" s="3" t="s">
        <v>33</v>
      </c>
      <c r="J194" s="3" t="s">
        <v>34</v>
      </c>
      <c r="K194" s="3"/>
      <c r="L194" s="3"/>
      <c r="M194" s="3"/>
      <c r="N194" s="3" t="s">
        <v>35</v>
      </c>
      <c r="O194" s="3" t="s">
        <v>36</v>
      </c>
      <c r="P194" s="4">
        <v>45914.803657407407</v>
      </c>
      <c r="Q194" s="3">
        <v>7777777</v>
      </c>
      <c r="R194" s="3" t="s">
        <v>37</v>
      </c>
      <c r="S194" s="3"/>
      <c r="T194" s="3"/>
      <c r="U194" s="5" t="s">
        <v>38</v>
      </c>
      <c r="V194" s="3"/>
      <c r="W194" s="3" t="s">
        <v>39</v>
      </c>
      <c r="X194" s="3" t="s">
        <v>41</v>
      </c>
      <c r="Y194" s="3" t="s">
        <v>41</v>
      </c>
      <c r="Z194" s="3" t="s">
        <v>42</v>
      </c>
      <c r="AA194" s="3" t="s">
        <v>49</v>
      </c>
      <c r="AB194" s="3" t="s">
        <v>40</v>
      </c>
      <c r="AC194" t="str">
        <f>IFERROR(VLOOKUP(C194,MigradosEfectivamente!B:B,1,FALSE),"No encontrado")</f>
        <v>No encontrado</v>
      </c>
    </row>
    <row r="195" spans="1:29" ht="60" x14ac:dyDescent="0.25">
      <c r="A195" s="3" t="s">
        <v>797</v>
      </c>
      <c r="B195" s="3" t="s">
        <v>798</v>
      </c>
      <c r="C195" s="3">
        <v>1098713037</v>
      </c>
      <c r="D195" s="3" t="s">
        <v>799</v>
      </c>
      <c r="E195" s="3">
        <v>3242611247</v>
      </c>
      <c r="F195" s="3" t="s">
        <v>800</v>
      </c>
      <c r="G195" s="3">
        <v>89</v>
      </c>
      <c r="H195" s="3" t="s">
        <v>110</v>
      </c>
      <c r="I195" s="3" t="s">
        <v>33</v>
      </c>
      <c r="J195" s="3" t="s">
        <v>34</v>
      </c>
      <c r="K195" s="3"/>
      <c r="L195" s="3"/>
      <c r="M195" s="3"/>
      <c r="N195" s="3" t="s">
        <v>35</v>
      </c>
      <c r="O195" s="3" t="s">
        <v>36</v>
      </c>
      <c r="P195" s="4">
        <v>45914.584456018521</v>
      </c>
      <c r="Q195" s="3">
        <v>7777777</v>
      </c>
      <c r="R195" s="3" t="s">
        <v>37</v>
      </c>
      <c r="S195" s="3"/>
      <c r="T195" s="3"/>
      <c r="U195" s="5" t="s">
        <v>38</v>
      </c>
      <c r="V195" s="3"/>
      <c r="W195" s="3" t="s">
        <v>60</v>
      </c>
      <c r="X195" s="3" t="s">
        <v>40</v>
      </c>
      <c r="Y195" s="3" t="s">
        <v>41</v>
      </c>
      <c r="Z195" s="3" t="s">
        <v>42</v>
      </c>
      <c r="AA195" s="3" t="s">
        <v>49</v>
      </c>
      <c r="AB195" s="3" t="s">
        <v>40</v>
      </c>
      <c r="AC195" t="str">
        <f>IFERROR(VLOOKUP(C195,MigradosEfectivamente!B:B,1,FALSE),"No encontrado")</f>
        <v>No encontrado</v>
      </c>
    </row>
    <row r="196" spans="1:29" ht="60" x14ac:dyDescent="0.25">
      <c r="A196" s="3" t="s">
        <v>801</v>
      </c>
      <c r="B196" s="3" t="s">
        <v>802</v>
      </c>
      <c r="C196" s="3">
        <v>1193374427</v>
      </c>
      <c r="D196" s="3" t="s">
        <v>803</v>
      </c>
      <c r="E196" s="3">
        <v>3197647367</v>
      </c>
      <c r="F196" s="3" t="s">
        <v>803</v>
      </c>
      <c r="G196" s="3">
        <v>89</v>
      </c>
      <c r="H196" s="3" t="s">
        <v>69</v>
      </c>
      <c r="I196" s="3" t="s">
        <v>33</v>
      </c>
      <c r="J196" s="3" t="s">
        <v>34</v>
      </c>
      <c r="K196" s="3"/>
      <c r="L196" s="3"/>
      <c r="M196" s="3"/>
      <c r="N196" s="3" t="s">
        <v>35</v>
      </c>
      <c r="O196" s="3" t="s">
        <v>36</v>
      </c>
      <c r="P196" s="4">
        <v>45914.339618055557</v>
      </c>
      <c r="Q196" s="3">
        <v>7777777</v>
      </c>
      <c r="R196" s="3" t="s">
        <v>37</v>
      </c>
      <c r="S196" s="3"/>
      <c r="T196" s="3"/>
      <c r="U196" s="5" t="s">
        <v>38</v>
      </c>
      <c r="V196" s="3"/>
      <c r="W196" s="3" t="s">
        <v>60</v>
      </c>
      <c r="X196" s="3" t="s">
        <v>40</v>
      </c>
      <c r="Y196" s="3" t="s">
        <v>41</v>
      </c>
      <c r="Z196" s="3" t="s">
        <v>42</v>
      </c>
      <c r="AA196" s="3" t="s">
        <v>49</v>
      </c>
      <c r="AB196" s="3" t="s">
        <v>40</v>
      </c>
      <c r="AC196">
        <f>IFERROR(VLOOKUP(C196,MigradosEfectivamente!B:B,1,FALSE),"No encontrado")</f>
        <v>1193374427</v>
      </c>
    </row>
    <row r="197" spans="1:29" ht="60" x14ac:dyDescent="0.25">
      <c r="A197" s="3" t="s">
        <v>804</v>
      </c>
      <c r="B197" s="3" t="s">
        <v>805</v>
      </c>
      <c r="C197" s="3">
        <v>13749799</v>
      </c>
      <c r="D197" s="3" t="s">
        <v>806</v>
      </c>
      <c r="E197" s="3">
        <v>3016350414</v>
      </c>
      <c r="F197" s="3" t="s">
        <v>807</v>
      </c>
      <c r="G197" s="3">
        <v>89</v>
      </c>
      <c r="H197" s="3" t="s">
        <v>54</v>
      </c>
      <c r="I197" s="3" t="s">
        <v>33</v>
      </c>
      <c r="J197" s="3" t="s">
        <v>34</v>
      </c>
      <c r="K197" s="3"/>
      <c r="L197" s="3"/>
      <c r="M197" s="3"/>
      <c r="N197" s="3" t="s">
        <v>35</v>
      </c>
      <c r="O197" s="3" t="s">
        <v>36</v>
      </c>
      <c r="P197" s="4">
        <v>45914.336076388892</v>
      </c>
      <c r="Q197" s="3">
        <v>7777777</v>
      </c>
      <c r="R197" s="3" t="s">
        <v>37</v>
      </c>
      <c r="S197" s="3"/>
      <c r="T197" s="3"/>
      <c r="U197" s="5" t="s">
        <v>38</v>
      </c>
      <c r="V197" s="3"/>
      <c r="W197" s="3" t="s">
        <v>60</v>
      </c>
      <c r="X197" s="3" t="s">
        <v>40</v>
      </c>
      <c r="Y197" s="3" t="s">
        <v>41</v>
      </c>
      <c r="Z197" s="3" t="s">
        <v>42</v>
      </c>
      <c r="AA197" s="3" t="s">
        <v>49</v>
      </c>
      <c r="AB197" s="3" t="s">
        <v>40</v>
      </c>
      <c r="AC197">
        <f>IFERROR(VLOOKUP(C197,MigradosEfectivamente!B:B,1,FALSE),"No encontrado")</f>
        <v>13749799</v>
      </c>
    </row>
    <row r="198" spans="1:29" ht="45" x14ac:dyDescent="0.25">
      <c r="A198" s="3" t="s">
        <v>808</v>
      </c>
      <c r="B198" s="3" t="s">
        <v>809</v>
      </c>
      <c r="C198" s="3">
        <v>7391890</v>
      </c>
      <c r="D198" s="3" t="s">
        <v>810</v>
      </c>
      <c r="E198" s="3">
        <v>3233925724</v>
      </c>
      <c r="F198" s="3" t="s">
        <v>811</v>
      </c>
      <c r="G198" s="3">
        <v>349</v>
      </c>
      <c r="H198" s="3" t="s">
        <v>97</v>
      </c>
      <c r="I198" s="3" t="s">
        <v>137</v>
      </c>
      <c r="J198" s="3" t="s">
        <v>34</v>
      </c>
      <c r="K198" s="3"/>
      <c r="L198" s="3"/>
      <c r="M198" s="3"/>
      <c r="N198" s="3" t="s">
        <v>35</v>
      </c>
      <c r="O198" s="3" t="s">
        <v>138</v>
      </c>
      <c r="P198" s="4">
        <v>45913.522210648145</v>
      </c>
      <c r="Q198" s="3">
        <v>7777777</v>
      </c>
      <c r="R198" s="3" t="s">
        <v>37</v>
      </c>
      <c r="S198" s="3"/>
      <c r="T198" s="3"/>
      <c r="U198" s="5" t="s">
        <v>38</v>
      </c>
      <c r="V198" s="3"/>
      <c r="W198" s="3" t="s">
        <v>39</v>
      </c>
      <c r="X198" s="3" t="s">
        <v>40</v>
      </c>
      <c r="Y198" s="3" t="s">
        <v>41</v>
      </c>
      <c r="Z198" s="3" t="s">
        <v>70</v>
      </c>
      <c r="AA198" s="3" t="s">
        <v>49</v>
      </c>
      <c r="AB198" s="3" t="s">
        <v>40</v>
      </c>
      <c r="AC198" t="str">
        <f>IFERROR(VLOOKUP(C198,MigradosEfectivamente!B:B,1,FALSE),"No encontrado")</f>
        <v>No encontrado</v>
      </c>
    </row>
    <row r="199" spans="1:29" ht="60" x14ac:dyDescent="0.25">
      <c r="A199" s="3" t="s">
        <v>812</v>
      </c>
      <c r="B199" s="3" t="s">
        <v>813</v>
      </c>
      <c r="C199" s="3">
        <v>88274534</v>
      </c>
      <c r="D199" s="3" t="s">
        <v>814</v>
      </c>
      <c r="E199" s="3">
        <v>3013430704</v>
      </c>
      <c r="F199" s="3" t="s">
        <v>815</v>
      </c>
      <c r="G199" s="3">
        <v>99</v>
      </c>
      <c r="H199" s="3" t="s">
        <v>69</v>
      </c>
      <c r="I199" s="3" t="s">
        <v>82</v>
      </c>
      <c r="J199" s="3" t="s">
        <v>34</v>
      </c>
      <c r="K199" s="3"/>
      <c r="L199" s="3"/>
      <c r="M199" s="3"/>
      <c r="N199" s="3" t="s">
        <v>35</v>
      </c>
      <c r="O199" s="3" t="s">
        <v>83</v>
      </c>
      <c r="P199" s="4">
        <v>45913.338067129633</v>
      </c>
      <c r="Q199" s="3">
        <v>7777777</v>
      </c>
      <c r="R199" s="3" t="s">
        <v>37</v>
      </c>
      <c r="S199" s="3"/>
      <c r="T199" s="3"/>
      <c r="U199" s="5" t="s">
        <v>38</v>
      </c>
      <c r="V199" s="3"/>
      <c r="W199" s="3" t="s">
        <v>60</v>
      </c>
      <c r="X199" s="3" t="s">
        <v>41</v>
      </c>
      <c r="Y199" s="3" t="s">
        <v>41</v>
      </c>
      <c r="Z199" s="3" t="s">
        <v>42</v>
      </c>
      <c r="AA199" s="3" t="s">
        <v>49</v>
      </c>
      <c r="AB199" s="3" t="s">
        <v>40</v>
      </c>
      <c r="AC199" t="str">
        <f>IFERROR(VLOOKUP(C199,MigradosEfectivamente!B:B,1,FALSE),"No encontrado")</f>
        <v>No encontrado</v>
      </c>
    </row>
    <row r="200" spans="1:29" ht="60" x14ac:dyDescent="0.25">
      <c r="A200" s="3" t="s">
        <v>816</v>
      </c>
      <c r="B200" s="3" t="s">
        <v>817</v>
      </c>
      <c r="C200" s="3">
        <v>1005210983</v>
      </c>
      <c r="D200" s="3" t="s">
        <v>818</v>
      </c>
      <c r="E200" s="3">
        <v>3202681597</v>
      </c>
      <c r="F200" s="3" t="s">
        <v>819</v>
      </c>
      <c r="G200" s="3">
        <v>89</v>
      </c>
      <c r="H200" s="3" t="s">
        <v>54</v>
      </c>
      <c r="I200" s="3" t="s">
        <v>33</v>
      </c>
      <c r="J200" s="3" t="s">
        <v>34</v>
      </c>
      <c r="K200" s="3"/>
      <c r="L200" s="3"/>
      <c r="M200" s="3"/>
      <c r="N200" s="3" t="s">
        <v>35</v>
      </c>
      <c r="O200" s="3" t="s">
        <v>36</v>
      </c>
      <c r="P200" s="4">
        <v>45913.334490740737</v>
      </c>
      <c r="Q200" s="3">
        <v>7777777</v>
      </c>
      <c r="R200" s="3" t="s">
        <v>37</v>
      </c>
      <c r="S200" s="3"/>
      <c r="T200" s="3"/>
      <c r="U200" s="5" t="s">
        <v>38</v>
      </c>
      <c r="V200" s="3"/>
      <c r="W200" s="3" t="s">
        <v>60</v>
      </c>
      <c r="X200" s="3" t="s">
        <v>41</v>
      </c>
      <c r="Y200" s="3" t="s">
        <v>41</v>
      </c>
      <c r="Z200" s="3" t="s">
        <v>42</v>
      </c>
      <c r="AA200" s="3" t="s">
        <v>49</v>
      </c>
      <c r="AB200" s="3" t="s">
        <v>40</v>
      </c>
      <c r="AC200">
        <f>IFERROR(VLOOKUP(C200,MigradosEfectivamente!B:B,1,FALSE),"No encontrado")</f>
        <v>1005210983</v>
      </c>
    </row>
    <row r="201" spans="1:29" ht="60" x14ac:dyDescent="0.25">
      <c r="A201" s="3" t="s">
        <v>820</v>
      </c>
      <c r="B201" s="3" t="s">
        <v>821</v>
      </c>
      <c r="C201" s="3">
        <v>1091969846</v>
      </c>
      <c r="D201" s="3" t="s">
        <v>822</v>
      </c>
      <c r="E201" s="3">
        <v>3204809306</v>
      </c>
      <c r="F201" s="3" t="s">
        <v>823</v>
      </c>
      <c r="G201" s="3">
        <v>99</v>
      </c>
      <c r="H201" s="3" t="s">
        <v>136</v>
      </c>
      <c r="I201" s="3" t="s">
        <v>82</v>
      </c>
      <c r="J201" s="3" t="s">
        <v>34</v>
      </c>
      <c r="K201" s="3"/>
      <c r="L201" s="3"/>
      <c r="M201" s="3"/>
      <c r="N201" s="3" t="s">
        <v>35</v>
      </c>
      <c r="O201" s="3" t="s">
        <v>83</v>
      </c>
      <c r="P201" s="4">
        <v>45913.334386574075</v>
      </c>
      <c r="Q201" s="3">
        <v>7777777</v>
      </c>
      <c r="R201" s="3" t="s">
        <v>37</v>
      </c>
      <c r="S201" s="3"/>
      <c r="T201" s="3"/>
      <c r="U201" s="5" t="s">
        <v>38</v>
      </c>
      <c r="V201" s="3"/>
      <c r="W201" s="3" t="s">
        <v>60</v>
      </c>
      <c r="X201" s="3" t="s">
        <v>40</v>
      </c>
      <c r="Y201" s="3" t="s">
        <v>41</v>
      </c>
      <c r="Z201" s="3" t="s">
        <v>42</v>
      </c>
      <c r="AA201" s="3" t="s">
        <v>49</v>
      </c>
      <c r="AB201" s="3" t="s">
        <v>40</v>
      </c>
      <c r="AC201" t="str">
        <f>IFERROR(VLOOKUP(C201,MigradosEfectivamente!B:B,1,FALSE),"No encontrado")</f>
        <v>No encontrado</v>
      </c>
    </row>
    <row r="202" spans="1:29" ht="60" x14ac:dyDescent="0.25">
      <c r="A202" s="3" t="s">
        <v>824</v>
      </c>
      <c r="B202" s="3" t="s">
        <v>825</v>
      </c>
      <c r="C202" s="3">
        <v>1193561369</v>
      </c>
      <c r="D202" s="3" t="s">
        <v>826</v>
      </c>
      <c r="E202" s="3" t="s">
        <v>827</v>
      </c>
      <c r="F202" s="3" t="s">
        <v>828</v>
      </c>
      <c r="G202" s="3">
        <v>89</v>
      </c>
      <c r="H202" s="3" t="s">
        <v>69</v>
      </c>
      <c r="I202" s="3" t="s">
        <v>82</v>
      </c>
      <c r="J202" s="3" t="s">
        <v>34</v>
      </c>
      <c r="K202" s="3"/>
      <c r="L202" s="3"/>
      <c r="M202" s="3"/>
      <c r="N202" s="3" t="s">
        <v>35</v>
      </c>
      <c r="O202" s="3" t="s">
        <v>36</v>
      </c>
      <c r="P202" s="4">
        <v>45913.333761574075</v>
      </c>
      <c r="Q202" s="3">
        <v>7777777</v>
      </c>
      <c r="R202" s="3" t="s">
        <v>37</v>
      </c>
      <c r="S202" s="3"/>
      <c r="T202" s="3"/>
      <c r="U202" s="5" t="s">
        <v>38</v>
      </c>
      <c r="V202" s="3"/>
      <c r="W202" s="3" t="s">
        <v>60</v>
      </c>
      <c r="X202" s="3" t="s">
        <v>41</v>
      </c>
      <c r="Y202" s="3" t="s">
        <v>41</v>
      </c>
      <c r="Z202" s="3" t="s">
        <v>42</v>
      </c>
      <c r="AA202" s="3" t="s">
        <v>49</v>
      </c>
      <c r="AB202" s="3" t="s">
        <v>40</v>
      </c>
      <c r="AC202" t="str">
        <f>IFERROR(VLOOKUP(C202,MigradosEfectivamente!B:B,1,FALSE),"No encontrado")</f>
        <v>No encontrado</v>
      </c>
    </row>
    <row r="203" spans="1:29" ht="60" x14ac:dyDescent="0.25">
      <c r="A203" s="3" t="s">
        <v>829</v>
      </c>
      <c r="B203" s="3" t="s">
        <v>830</v>
      </c>
      <c r="C203" s="3">
        <v>1005345843</v>
      </c>
      <c r="D203" s="3" t="s">
        <v>233</v>
      </c>
      <c r="E203" s="3">
        <v>573203181106</v>
      </c>
      <c r="F203" s="3" t="s">
        <v>831</v>
      </c>
      <c r="G203" s="3">
        <v>89</v>
      </c>
      <c r="H203" s="3" t="s">
        <v>59</v>
      </c>
      <c r="I203" s="3" t="s">
        <v>82</v>
      </c>
      <c r="J203" s="3" t="s">
        <v>34</v>
      </c>
      <c r="K203" s="3"/>
      <c r="L203" s="3"/>
      <c r="M203" s="3"/>
      <c r="N203" s="3" t="s">
        <v>35</v>
      </c>
      <c r="O203" s="3" t="s">
        <v>36</v>
      </c>
      <c r="P203" s="4">
        <v>45912.875763888886</v>
      </c>
      <c r="Q203" s="3">
        <v>7777777</v>
      </c>
      <c r="R203" s="3" t="s">
        <v>37</v>
      </c>
      <c r="S203" s="3"/>
      <c r="T203" s="3"/>
      <c r="U203" s="5" t="s">
        <v>38</v>
      </c>
      <c r="V203" s="3"/>
      <c r="W203" s="3" t="s">
        <v>60</v>
      </c>
      <c r="X203" s="3" t="s">
        <v>40</v>
      </c>
      <c r="Y203" s="3" t="s">
        <v>41</v>
      </c>
      <c r="Z203" s="3" t="s">
        <v>42</v>
      </c>
      <c r="AA203" s="3" t="s">
        <v>49</v>
      </c>
      <c r="AB203" s="3" t="s">
        <v>40</v>
      </c>
      <c r="AC203" t="str">
        <f>IFERROR(VLOOKUP(C203,MigradosEfectivamente!B:B,1,FALSE),"No encontrado")</f>
        <v>No encontrado</v>
      </c>
    </row>
    <row r="204" spans="1:29" ht="60" x14ac:dyDescent="0.25">
      <c r="A204" s="3" t="s">
        <v>832</v>
      </c>
      <c r="B204" s="3" t="s">
        <v>833</v>
      </c>
      <c r="C204" s="3">
        <v>1098665820</v>
      </c>
      <c r="D204" s="3" t="s">
        <v>834</v>
      </c>
      <c r="E204" s="3">
        <v>3186352555</v>
      </c>
      <c r="F204" s="3" t="s">
        <v>835</v>
      </c>
      <c r="G204" s="3">
        <v>89</v>
      </c>
      <c r="H204" s="3" t="s">
        <v>97</v>
      </c>
      <c r="I204" s="3" t="s">
        <v>119</v>
      </c>
      <c r="J204" s="3" t="s">
        <v>34</v>
      </c>
      <c r="K204" s="3"/>
      <c r="L204" s="3"/>
      <c r="M204" s="3"/>
      <c r="N204" s="3" t="s">
        <v>35</v>
      </c>
      <c r="O204" s="3" t="s">
        <v>36</v>
      </c>
      <c r="P204" s="4">
        <v>45912.875358796293</v>
      </c>
      <c r="Q204" s="3">
        <v>7777777</v>
      </c>
      <c r="R204" s="3" t="s">
        <v>37</v>
      </c>
      <c r="S204" s="3"/>
      <c r="T204" s="3"/>
      <c r="U204" s="5" t="s">
        <v>38</v>
      </c>
      <c r="V204" s="3"/>
      <c r="W204" s="3" t="s">
        <v>60</v>
      </c>
      <c r="X204" s="3" t="s">
        <v>40</v>
      </c>
      <c r="Y204" s="3" t="s">
        <v>41</v>
      </c>
      <c r="Z204" s="3" t="s">
        <v>42</v>
      </c>
      <c r="AA204" s="3" t="s">
        <v>49</v>
      </c>
      <c r="AB204" s="3" t="s">
        <v>40</v>
      </c>
      <c r="AC204" t="str">
        <f>IFERROR(VLOOKUP(C204,MigradosEfectivamente!B:B,1,FALSE),"No encontrado")</f>
        <v>No encontrado</v>
      </c>
    </row>
    <row r="205" spans="1:29" ht="60" x14ac:dyDescent="0.25">
      <c r="A205" s="3" t="s">
        <v>836</v>
      </c>
      <c r="B205" s="3" t="s">
        <v>837</v>
      </c>
      <c r="C205" s="3">
        <v>1007167795</v>
      </c>
      <c r="D205" s="3" t="s">
        <v>288</v>
      </c>
      <c r="E205" s="3" t="s">
        <v>838</v>
      </c>
      <c r="F205" s="3" t="s">
        <v>839</v>
      </c>
      <c r="G205" s="3">
        <v>89</v>
      </c>
      <c r="H205" s="3" t="s">
        <v>136</v>
      </c>
      <c r="I205" s="3" t="s">
        <v>33</v>
      </c>
      <c r="J205" s="3" t="s">
        <v>34</v>
      </c>
      <c r="K205" s="3"/>
      <c r="L205" s="3"/>
      <c r="M205" s="3"/>
      <c r="N205" s="3" t="s">
        <v>35</v>
      </c>
      <c r="O205" s="3" t="s">
        <v>36</v>
      </c>
      <c r="P205" s="4">
        <v>45912.586388888885</v>
      </c>
      <c r="Q205" s="3">
        <v>7777777</v>
      </c>
      <c r="R205" s="3" t="s">
        <v>37</v>
      </c>
      <c r="S205" s="3"/>
      <c r="T205" s="3"/>
      <c r="U205" s="5" t="s">
        <v>38</v>
      </c>
      <c r="V205" s="3"/>
      <c r="W205" s="3" t="s">
        <v>60</v>
      </c>
      <c r="X205" s="3" t="s">
        <v>41</v>
      </c>
      <c r="Y205" s="3" t="s">
        <v>41</v>
      </c>
      <c r="Z205" s="3" t="s">
        <v>42</v>
      </c>
      <c r="AA205" s="3" t="s">
        <v>49</v>
      </c>
      <c r="AB205" s="3" t="s">
        <v>40</v>
      </c>
      <c r="AC205">
        <f>IFERROR(VLOOKUP(C205,MigradosEfectivamente!B:B,1,FALSE),"No encontrado")</f>
        <v>1007167795</v>
      </c>
    </row>
    <row r="206" spans="1:29" ht="60" x14ac:dyDescent="0.25">
      <c r="A206" s="3" t="s">
        <v>840</v>
      </c>
      <c r="B206" s="3" t="s">
        <v>841</v>
      </c>
      <c r="C206" s="3">
        <v>1049088255</v>
      </c>
      <c r="D206" s="3" t="s">
        <v>122</v>
      </c>
      <c r="E206" s="3" t="s">
        <v>842</v>
      </c>
      <c r="F206" s="3" t="s">
        <v>843</v>
      </c>
      <c r="G206" s="3">
        <v>89</v>
      </c>
      <c r="H206" s="3" t="s">
        <v>97</v>
      </c>
      <c r="I206" s="3" t="s">
        <v>33</v>
      </c>
      <c r="J206" s="3" t="s">
        <v>34</v>
      </c>
      <c r="K206" s="3"/>
      <c r="L206" s="3"/>
      <c r="M206" s="3"/>
      <c r="N206" s="3" t="s">
        <v>35</v>
      </c>
      <c r="O206" s="3" t="s">
        <v>36</v>
      </c>
      <c r="P206" s="4">
        <v>45912.584432870368</v>
      </c>
      <c r="Q206" s="3">
        <v>7777777</v>
      </c>
      <c r="R206" s="3" t="s">
        <v>37</v>
      </c>
      <c r="S206" s="3"/>
      <c r="T206" s="3"/>
      <c r="U206" s="5" t="s">
        <v>38</v>
      </c>
      <c r="V206" s="3"/>
      <c r="W206" s="3" t="s">
        <v>60</v>
      </c>
      <c r="X206" s="3" t="s">
        <v>40</v>
      </c>
      <c r="Y206" s="3" t="s">
        <v>41</v>
      </c>
      <c r="Z206" s="3" t="s">
        <v>42</v>
      </c>
      <c r="AA206" s="3" t="s">
        <v>49</v>
      </c>
      <c r="AB206" s="3" t="s">
        <v>40</v>
      </c>
      <c r="AC206" t="str">
        <f>IFERROR(VLOOKUP(C206,MigradosEfectivamente!B:B,1,FALSE),"No encontrado")</f>
        <v>No encontrado</v>
      </c>
    </row>
    <row r="207" spans="1:29" ht="60" x14ac:dyDescent="0.25">
      <c r="A207" s="3" t="s">
        <v>844</v>
      </c>
      <c r="B207" s="3" t="s">
        <v>845</v>
      </c>
      <c r="C207" s="3">
        <v>1005257154</v>
      </c>
      <c r="D207" s="3" t="s">
        <v>846</v>
      </c>
      <c r="E207" s="3">
        <v>3150675863</v>
      </c>
      <c r="F207" s="3" t="s">
        <v>847</v>
      </c>
      <c r="G207" s="3">
        <v>89</v>
      </c>
      <c r="H207" s="3" t="s">
        <v>32</v>
      </c>
      <c r="I207" s="3" t="s">
        <v>33</v>
      </c>
      <c r="J207" s="3" t="s">
        <v>34</v>
      </c>
      <c r="K207" s="3"/>
      <c r="L207" s="3"/>
      <c r="M207" s="3"/>
      <c r="N207" s="3" t="s">
        <v>35</v>
      </c>
      <c r="O207" s="3" t="s">
        <v>36</v>
      </c>
      <c r="P207" s="4">
        <v>45912.337870370371</v>
      </c>
      <c r="Q207" s="3">
        <v>7777777</v>
      </c>
      <c r="R207" s="3" t="s">
        <v>37</v>
      </c>
      <c r="S207" s="3"/>
      <c r="T207" s="3"/>
      <c r="U207" s="5" t="s">
        <v>38</v>
      </c>
      <c r="V207" s="3"/>
      <c r="W207" s="3" t="s">
        <v>60</v>
      </c>
      <c r="X207" s="3" t="s">
        <v>40</v>
      </c>
      <c r="Y207" s="3" t="s">
        <v>41</v>
      </c>
      <c r="Z207" s="3" t="s">
        <v>42</v>
      </c>
      <c r="AA207" s="3" t="s">
        <v>49</v>
      </c>
      <c r="AB207" s="3" t="s">
        <v>40</v>
      </c>
      <c r="AC207">
        <f>IFERROR(VLOOKUP(C207,MigradosEfectivamente!B:B,1,FALSE),"No encontrado")</f>
        <v>1005257154</v>
      </c>
    </row>
    <row r="208" spans="1:29" ht="60" x14ac:dyDescent="0.25">
      <c r="A208" s="3" t="s">
        <v>848</v>
      </c>
      <c r="B208" s="3" t="s">
        <v>849</v>
      </c>
      <c r="C208" s="3">
        <v>1098783773</v>
      </c>
      <c r="D208" s="3" t="s">
        <v>850</v>
      </c>
      <c r="E208" s="3">
        <v>3112865034</v>
      </c>
      <c r="F208" s="3" t="s">
        <v>851</v>
      </c>
      <c r="G208" s="3">
        <v>89</v>
      </c>
      <c r="H208" s="3" t="s">
        <v>97</v>
      </c>
      <c r="I208" s="3" t="s">
        <v>82</v>
      </c>
      <c r="J208" s="3" t="s">
        <v>34</v>
      </c>
      <c r="K208" s="3"/>
      <c r="L208" s="3"/>
      <c r="M208" s="3"/>
      <c r="N208" s="3" t="s">
        <v>35</v>
      </c>
      <c r="O208" s="3" t="s">
        <v>36</v>
      </c>
      <c r="P208" s="4">
        <v>45912.337638888886</v>
      </c>
      <c r="Q208" s="3">
        <v>7777777</v>
      </c>
      <c r="R208" s="3" t="s">
        <v>37</v>
      </c>
      <c r="S208" s="3"/>
      <c r="T208" s="3"/>
      <c r="U208" s="5" t="s">
        <v>38</v>
      </c>
      <c r="V208" s="3"/>
      <c r="W208" s="3" t="s">
        <v>60</v>
      </c>
      <c r="X208" s="3" t="s">
        <v>40</v>
      </c>
      <c r="Y208" s="3" t="s">
        <v>41</v>
      </c>
      <c r="Z208" s="3" t="s">
        <v>42</v>
      </c>
      <c r="AA208" s="3" t="s">
        <v>49</v>
      </c>
      <c r="AB208" s="3" t="s">
        <v>40</v>
      </c>
      <c r="AC208" t="str">
        <f>IFERROR(VLOOKUP(C208,MigradosEfectivamente!B:B,1,FALSE),"No encontrado")</f>
        <v>No encontrado</v>
      </c>
    </row>
    <row r="209" spans="1:29" ht="60" x14ac:dyDescent="0.25">
      <c r="A209" s="3" t="s">
        <v>852</v>
      </c>
      <c r="B209" s="3" t="s">
        <v>853</v>
      </c>
      <c r="C209" s="3">
        <v>80232857</v>
      </c>
      <c r="D209" s="3" t="s">
        <v>233</v>
      </c>
      <c r="E209" s="3">
        <v>3238154074</v>
      </c>
      <c r="F209" s="3" t="s">
        <v>854</v>
      </c>
      <c r="G209" s="3">
        <v>99</v>
      </c>
      <c r="H209" s="3" t="s">
        <v>69</v>
      </c>
      <c r="I209" s="3" t="s">
        <v>82</v>
      </c>
      <c r="J209" s="3" t="s">
        <v>34</v>
      </c>
      <c r="K209" s="3"/>
      <c r="L209" s="3"/>
      <c r="M209" s="3"/>
      <c r="N209" s="3" t="s">
        <v>35</v>
      </c>
      <c r="O209" s="3" t="s">
        <v>83</v>
      </c>
      <c r="P209" s="4">
        <v>45912.337465277778</v>
      </c>
      <c r="Q209" s="3">
        <v>7777777</v>
      </c>
      <c r="R209" s="3" t="s">
        <v>37</v>
      </c>
      <c r="S209" s="3"/>
      <c r="T209" s="3"/>
      <c r="U209" s="5" t="s">
        <v>38</v>
      </c>
      <c r="V209" s="3"/>
      <c r="W209" s="3" t="s">
        <v>60</v>
      </c>
      <c r="X209" s="3" t="s">
        <v>40</v>
      </c>
      <c r="Y209" s="3" t="s">
        <v>40</v>
      </c>
      <c r="Z209" s="3" t="s">
        <v>42</v>
      </c>
      <c r="AA209" s="3" t="s">
        <v>49</v>
      </c>
      <c r="AB209" s="3" t="s">
        <v>40</v>
      </c>
      <c r="AC209" t="str">
        <f>IFERROR(VLOOKUP(C209,MigradosEfectivamente!B:B,1,FALSE),"No encontrado")</f>
        <v>No encontrado</v>
      </c>
    </row>
    <row r="210" spans="1:29" ht="60" x14ac:dyDescent="0.25">
      <c r="A210" s="3" t="s">
        <v>855</v>
      </c>
      <c r="B210" s="3" t="s">
        <v>856</v>
      </c>
      <c r="C210" s="3">
        <v>1090507179</v>
      </c>
      <c r="D210" s="3" t="s">
        <v>857</v>
      </c>
      <c r="E210" s="3">
        <v>3027081174</v>
      </c>
      <c r="F210" s="3" t="s">
        <v>858</v>
      </c>
      <c r="G210" s="3">
        <v>99</v>
      </c>
      <c r="H210" s="3" t="s">
        <v>69</v>
      </c>
      <c r="I210" s="3" t="s">
        <v>82</v>
      </c>
      <c r="J210" s="3" t="s">
        <v>34</v>
      </c>
      <c r="K210" s="3"/>
      <c r="L210" s="3"/>
      <c r="M210" s="3"/>
      <c r="N210" s="3" t="s">
        <v>35</v>
      </c>
      <c r="O210" s="3" t="s">
        <v>83</v>
      </c>
      <c r="P210" s="4">
        <v>45912.335347222222</v>
      </c>
      <c r="Q210" s="3">
        <v>7777777</v>
      </c>
      <c r="R210" s="3" t="s">
        <v>37</v>
      </c>
      <c r="S210" s="3"/>
      <c r="T210" s="3"/>
      <c r="U210" s="5" t="s">
        <v>38</v>
      </c>
      <c r="V210" s="3"/>
      <c r="W210" s="3" t="s">
        <v>60</v>
      </c>
      <c r="X210" s="3" t="s">
        <v>40</v>
      </c>
      <c r="Y210" s="3" t="s">
        <v>41</v>
      </c>
      <c r="Z210" s="3" t="s">
        <v>42</v>
      </c>
      <c r="AA210" s="3" t="s">
        <v>49</v>
      </c>
      <c r="AB210" s="3" t="s">
        <v>40</v>
      </c>
      <c r="AC210" t="str">
        <f>IFERROR(VLOOKUP(C210,MigradosEfectivamente!B:B,1,FALSE),"No encontrado")</f>
        <v>No encontrado</v>
      </c>
    </row>
    <row r="211" spans="1:29" ht="60" x14ac:dyDescent="0.25">
      <c r="A211" s="3" t="s">
        <v>859</v>
      </c>
      <c r="B211" s="3" t="s">
        <v>860</v>
      </c>
      <c r="C211" s="3">
        <v>1238138139</v>
      </c>
      <c r="D211" s="3" t="s">
        <v>861</v>
      </c>
      <c r="E211" s="3">
        <v>3102930590</v>
      </c>
      <c r="F211" s="3" t="s">
        <v>862</v>
      </c>
      <c r="G211" s="3">
        <v>89</v>
      </c>
      <c r="H211" s="3" t="s">
        <v>110</v>
      </c>
      <c r="I211" s="3" t="s">
        <v>33</v>
      </c>
      <c r="J211" s="3" t="s">
        <v>34</v>
      </c>
      <c r="K211" s="3"/>
      <c r="L211" s="3"/>
      <c r="M211" s="3"/>
      <c r="N211" s="3" t="s">
        <v>35</v>
      </c>
      <c r="O211" s="3" t="s">
        <v>36</v>
      </c>
      <c r="P211" s="4">
        <v>45911.878321759257</v>
      </c>
      <c r="Q211" s="3">
        <v>7777777</v>
      </c>
      <c r="R211" s="3" t="s">
        <v>37</v>
      </c>
      <c r="S211" s="3"/>
      <c r="T211" s="3"/>
      <c r="U211" s="5" t="s">
        <v>38</v>
      </c>
      <c r="V211" s="3"/>
      <c r="W211" s="3" t="s">
        <v>60</v>
      </c>
      <c r="X211" s="3" t="s">
        <v>41</v>
      </c>
      <c r="Y211" s="3" t="s">
        <v>41</v>
      </c>
      <c r="Z211" s="3" t="s">
        <v>42</v>
      </c>
      <c r="AA211" s="3" t="s">
        <v>49</v>
      </c>
      <c r="AB211" s="3" t="s">
        <v>40</v>
      </c>
      <c r="AC211">
        <f>IFERROR(VLOOKUP(C211,MigradosEfectivamente!B:B,1,FALSE),"No encontrado")</f>
        <v>1238138139</v>
      </c>
    </row>
    <row r="212" spans="1:29" ht="45" x14ac:dyDescent="0.25">
      <c r="A212" s="3" t="s">
        <v>863</v>
      </c>
      <c r="B212" s="3" t="s">
        <v>864</v>
      </c>
      <c r="C212" s="3">
        <v>1090520239</v>
      </c>
      <c r="D212" s="3" t="s">
        <v>865</v>
      </c>
      <c r="E212" s="3">
        <v>3107619458</v>
      </c>
      <c r="F212" s="3" t="s">
        <v>866</v>
      </c>
      <c r="G212" s="3">
        <v>99</v>
      </c>
      <c r="H212" s="3" t="s">
        <v>69</v>
      </c>
      <c r="I212" s="3" t="s">
        <v>82</v>
      </c>
      <c r="J212" s="3" t="s">
        <v>34</v>
      </c>
      <c r="K212" s="3"/>
      <c r="L212" s="3"/>
      <c r="M212" s="3"/>
      <c r="N212" s="3" t="s">
        <v>35</v>
      </c>
      <c r="O212" s="3" t="s">
        <v>83</v>
      </c>
      <c r="P212" s="4">
        <v>45911.694398148145</v>
      </c>
      <c r="Q212" s="3">
        <v>7777777</v>
      </c>
      <c r="R212" s="3" t="s">
        <v>37</v>
      </c>
      <c r="S212" s="3"/>
      <c r="T212" s="3"/>
      <c r="U212" s="5" t="s">
        <v>38</v>
      </c>
      <c r="V212" s="3"/>
      <c r="W212" s="3" t="s">
        <v>39</v>
      </c>
      <c r="X212" s="3" t="s">
        <v>40</v>
      </c>
      <c r="Y212" s="3" t="s">
        <v>40</v>
      </c>
      <c r="Z212" s="3" t="s">
        <v>42</v>
      </c>
      <c r="AA212" s="3" t="s">
        <v>49</v>
      </c>
      <c r="AB212" s="3" t="s">
        <v>40</v>
      </c>
      <c r="AC212" t="str">
        <f>IFERROR(VLOOKUP(C212,MigradosEfectivamente!B:B,1,FALSE),"No encontrado")</f>
        <v>No encontrado</v>
      </c>
    </row>
    <row r="213" spans="1:29" ht="45" x14ac:dyDescent="0.25">
      <c r="A213" s="3" t="s">
        <v>867</v>
      </c>
      <c r="B213" s="3" t="s">
        <v>868</v>
      </c>
      <c r="C213" s="3">
        <v>1193029689</v>
      </c>
      <c r="D213" s="3" t="s">
        <v>869</v>
      </c>
      <c r="E213" s="3">
        <v>3152505788</v>
      </c>
      <c r="F213" s="3" t="s">
        <v>870</v>
      </c>
      <c r="G213" s="3">
        <v>99</v>
      </c>
      <c r="H213" s="3" t="s">
        <v>69</v>
      </c>
      <c r="I213" s="3" t="s">
        <v>82</v>
      </c>
      <c r="J213" s="3" t="s">
        <v>34</v>
      </c>
      <c r="K213" s="3"/>
      <c r="L213" s="3"/>
      <c r="M213" s="3"/>
      <c r="N213" s="3" t="s">
        <v>35</v>
      </c>
      <c r="O213" s="3" t="s">
        <v>83</v>
      </c>
      <c r="P213" s="4">
        <v>45911.692974537036</v>
      </c>
      <c r="Q213" s="3">
        <v>7777777</v>
      </c>
      <c r="R213" s="3" t="s">
        <v>37</v>
      </c>
      <c r="S213" s="3"/>
      <c r="T213" s="3"/>
      <c r="U213" s="5" t="s">
        <v>38</v>
      </c>
      <c r="V213" s="3"/>
      <c r="W213" s="3" t="s">
        <v>39</v>
      </c>
      <c r="X213" s="3" t="s">
        <v>40</v>
      </c>
      <c r="Y213" s="3" t="s">
        <v>40</v>
      </c>
      <c r="Z213" s="3" t="s">
        <v>42</v>
      </c>
      <c r="AA213" s="3" t="s">
        <v>49</v>
      </c>
      <c r="AB213" s="3" t="s">
        <v>40</v>
      </c>
      <c r="AC213" t="str">
        <f>IFERROR(VLOOKUP(C213,MigradosEfectivamente!B:B,1,FALSE),"No encontrado")</f>
        <v>No encontrado</v>
      </c>
    </row>
    <row r="214" spans="1:29" ht="45" x14ac:dyDescent="0.25">
      <c r="A214" s="3" t="s">
        <v>871</v>
      </c>
      <c r="B214" s="3" t="s">
        <v>872</v>
      </c>
      <c r="C214" s="3">
        <v>6865856</v>
      </c>
      <c r="D214" s="3" t="s">
        <v>288</v>
      </c>
      <c r="E214" s="3">
        <v>3125269236</v>
      </c>
      <c r="F214" s="3" t="s">
        <v>873</v>
      </c>
      <c r="G214" s="3">
        <v>89</v>
      </c>
      <c r="H214" s="3" t="s">
        <v>136</v>
      </c>
      <c r="I214" s="3" t="s">
        <v>33</v>
      </c>
      <c r="J214" s="3" t="s">
        <v>34</v>
      </c>
      <c r="K214" s="3"/>
      <c r="L214" s="3"/>
      <c r="M214" s="3"/>
      <c r="N214" s="3" t="s">
        <v>35</v>
      </c>
      <c r="O214" s="3" t="s">
        <v>36</v>
      </c>
      <c r="P214" s="4">
        <v>45911.655162037037</v>
      </c>
      <c r="Q214" s="3">
        <v>7777777</v>
      </c>
      <c r="R214" s="3" t="s">
        <v>37</v>
      </c>
      <c r="S214" s="3"/>
      <c r="T214" s="3"/>
      <c r="U214" s="5" t="s">
        <v>38</v>
      </c>
      <c r="V214" s="3"/>
      <c r="W214" s="3" t="s">
        <v>39</v>
      </c>
      <c r="X214" s="3" t="s">
        <v>41</v>
      </c>
      <c r="Y214" s="3" t="s">
        <v>41</v>
      </c>
      <c r="Z214" s="3" t="s">
        <v>70</v>
      </c>
      <c r="AA214" s="3" t="s">
        <v>49</v>
      </c>
      <c r="AB214" s="3" t="s">
        <v>41</v>
      </c>
      <c r="AC214">
        <f>IFERROR(VLOOKUP(C214,MigradosEfectivamente!B:B,1,FALSE),"No encontrado")</f>
        <v>6865856</v>
      </c>
    </row>
    <row r="215" spans="1:29" ht="45" x14ac:dyDescent="0.25">
      <c r="A215" s="3" t="s">
        <v>874</v>
      </c>
      <c r="B215" s="3" t="s">
        <v>875</v>
      </c>
      <c r="C215" s="3">
        <v>1045692127</v>
      </c>
      <c r="D215" s="3" t="s">
        <v>876</v>
      </c>
      <c r="E215" s="3">
        <v>3171465915</v>
      </c>
      <c r="F215" s="3" t="s">
        <v>877</v>
      </c>
      <c r="G215" s="3">
        <v>89</v>
      </c>
      <c r="H215" s="3" t="s">
        <v>59</v>
      </c>
      <c r="I215" s="3" t="s">
        <v>33</v>
      </c>
      <c r="J215" s="3" t="s">
        <v>34</v>
      </c>
      <c r="K215" s="3"/>
      <c r="L215" s="3"/>
      <c r="M215" s="3"/>
      <c r="N215" s="3" t="s">
        <v>35</v>
      </c>
      <c r="O215" s="3" t="s">
        <v>36</v>
      </c>
      <c r="P215" s="4">
        <v>45911.595578703702</v>
      </c>
      <c r="Q215" s="3">
        <v>7777777</v>
      </c>
      <c r="R215" s="3" t="s">
        <v>37</v>
      </c>
      <c r="S215" s="3"/>
      <c r="T215" s="3"/>
      <c r="U215" s="5" t="s">
        <v>38</v>
      </c>
      <c r="V215" s="3"/>
      <c r="W215" s="3" t="s">
        <v>39</v>
      </c>
      <c r="X215" s="3" t="s">
        <v>40</v>
      </c>
      <c r="Y215" s="3" t="s">
        <v>40</v>
      </c>
      <c r="Z215" s="3" t="s">
        <v>70</v>
      </c>
      <c r="AA215" s="3" t="s">
        <v>49</v>
      </c>
      <c r="AB215" s="3" t="s">
        <v>40</v>
      </c>
      <c r="AC215" t="str">
        <f>IFERROR(VLOOKUP(C215,MigradosEfectivamente!B:B,1,FALSE),"No encontrado")</f>
        <v>No encontrado</v>
      </c>
    </row>
    <row r="216" spans="1:29" ht="60" x14ac:dyDescent="0.25">
      <c r="A216" s="3" t="s">
        <v>878</v>
      </c>
      <c r="B216" s="3" t="s">
        <v>879</v>
      </c>
      <c r="C216" s="3">
        <v>1005449342</v>
      </c>
      <c r="D216" s="3" t="s">
        <v>880</v>
      </c>
      <c r="E216" s="3">
        <v>3204097120</v>
      </c>
      <c r="F216" s="3" t="s">
        <v>881</v>
      </c>
      <c r="G216" s="3">
        <v>89</v>
      </c>
      <c r="H216" s="3" t="s">
        <v>54</v>
      </c>
      <c r="I216" s="3" t="s">
        <v>33</v>
      </c>
      <c r="J216" s="3" t="s">
        <v>34</v>
      </c>
      <c r="K216" s="3"/>
      <c r="L216" s="3"/>
      <c r="M216" s="3"/>
      <c r="N216" s="3" t="s">
        <v>35</v>
      </c>
      <c r="O216" s="3" t="s">
        <v>36</v>
      </c>
      <c r="P216" s="4">
        <v>45911.585381944446</v>
      </c>
      <c r="Q216" s="3">
        <v>7777777</v>
      </c>
      <c r="R216" s="3" t="s">
        <v>37</v>
      </c>
      <c r="S216" s="3"/>
      <c r="T216" s="3"/>
      <c r="U216" s="5" t="s">
        <v>38</v>
      </c>
      <c r="V216" s="3"/>
      <c r="W216" s="3" t="s">
        <v>60</v>
      </c>
      <c r="X216" s="3" t="s">
        <v>40</v>
      </c>
      <c r="Y216" s="3" t="s">
        <v>41</v>
      </c>
      <c r="Z216" s="3" t="s">
        <v>42</v>
      </c>
      <c r="AA216" s="3" t="s">
        <v>49</v>
      </c>
      <c r="AB216" s="3" t="s">
        <v>40</v>
      </c>
      <c r="AC216" t="str">
        <f>IFERROR(VLOOKUP(C216,MigradosEfectivamente!B:B,1,FALSE),"No encontrado")</f>
        <v>No encontrado</v>
      </c>
    </row>
    <row r="217" spans="1:29" ht="60" x14ac:dyDescent="0.25">
      <c r="A217" s="3" t="s">
        <v>882</v>
      </c>
      <c r="B217" s="3" t="s">
        <v>883</v>
      </c>
      <c r="C217" s="3">
        <v>1095818988</v>
      </c>
      <c r="D217" s="3" t="s">
        <v>884</v>
      </c>
      <c r="E217" s="3">
        <v>3232488584</v>
      </c>
      <c r="F217" s="3" t="s">
        <v>885</v>
      </c>
      <c r="G217" s="3">
        <v>99</v>
      </c>
      <c r="H217" s="3" t="s">
        <v>110</v>
      </c>
      <c r="I217" s="3" t="s">
        <v>82</v>
      </c>
      <c r="J217" s="3" t="s">
        <v>34</v>
      </c>
      <c r="K217" s="3"/>
      <c r="L217" s="3"/>
      <c r="M217" s="3"/>
      <c r="N217" s="3" t="s">
        <v>35</v>
      </c>
      <c r="O217" s="3" t="s">
        <v>83</v>
      </c>
      <c r="P217" s="4">
        <v>45911.584386574075</v>
      </c>
      <c r="Q217" s="3">
        <v>7777777</v>
      </c>
      <c r="R217" s="3" t="s">
        <v>37</v>
      </c>
      <c r="S217" s="3"/>
      <c r="T217" s="3"/>
      <c r="U217" s="5" t="s">
        <v>38</v>
      </c>
      <c r="V217" s="3"/>
      <c r="W217" s="3" t="s">
        <v>60</v>
      </c>
      <c r="X217" s="3" t="s">
        <v>41</v>
      </c>
      <c r="Y217" s="3" t="s">
        <v>41</v>
      </c>
      <c r="Z217" s="3" t="s">
        <v>42</v>
      </c>
      <c r="AA217" s="3" t="s">
        <v>49</v>
      </c>
      <c r="AB217" s="3" t="s">
        <v>40</v>
      </c>
      <c r="AC217" t="str">
        <f>IFERROR(VLOOKUP(C217,MigradosEfectivamente!B:B,1,FALSE),"No encontrado")</f>
        <v>No encontrado</v>
      </c>
    </row>
    <row r="218" spans="1:29" ht="45" x14ac:dyDescent="0.25">
      <c r="A218" s="3">
        <v>23148</v>
      </c>
      <c r="B218" s="3" t="s">
        <v>886</v>
      </c>
      <c r="C218" s="3">
        <v>1098647147</v>
      </c>
      <c r="D218" s="3" t="s">
        <v>46</v>
      </c>
      <c r="E218" s="3">
        <v>3217796783</v>
      </c>
      <c r="F218" s="3" t="s">
        <v>887</v>
      </c>
      <c r="G218" s="3">
        <v>89</v>
      </c>
      <c r="H218" s="3" t="s">
        <v>269</v>
      </c>
      <c r="I218" s="3" t="s">
        <v>33</v>
      </c>
      <c r="J218" s="3" t="s">
        <v>34</v>
      </c>
      <c r="K218" s="3"/>
      <c r="L218" s="3"/>
      <c r="M218" s="3"/>
      <c r="N218" s="3" t="s">
        <v>35</v>
      </c>
      <c r="O218" s="3" t="s">
        <v>36</v>
      </c>
      <c r="P218" s="4">
        <v>45911.535231481481</v>
      </c>
      <c r="Q218" s="3">
        <v>7777777</v>
      </c>
      <c r="R218" s="3" t="s">
        <v>37</v>
      </c>
      <c r="S218" s="3"/>
      <c r="T218" s="3"/>
      <c r="U218" s="5" t="s">
        <v>38</v>
      </c>
      <c r="V218" s="3"/>
      <c r="W218" s="3" t="s">
        <v>39</v>
      </c>
      <c r="X218" s="3" t="s">
        <v>41</v>
      </c>
      <c r="Y218" s="3" t="s">
        <v>41</v>
      </c>
      <c r="Z218" s="3" t="s">
        <v>42</v>
      </c>
      <c r="AA218" s="3" t="s">
        <v>49</v>
      </c>
      <c r="AB218" s="3" t="s">
        <v>40</v>
      </c>
      <c r="AC218">
        <f>IFERROR(VLOOKUP(C218,MigradosEfectivamente!B:B,1,FALSE),"No encontrado")</f>
        <v>1098647147</v>
      </c>
    </row>
    <row r="219" spans="1:29" ht="45" x14ac:dyDescent="0.25">
      <c r="A219" s="3" t="s">
        <v>888</v>
      </c>
      <c r="B219" s="3" t="s">
        <v>889</v>
      </c>
      <c r="C219" s="3">
        <v>1095840261</v>
      </c>
      <c r="D219" s="3" t="s">
        <v>890</v>
      </c>
      <c r="E219" s="3">
        <v>3184821288</v>
      </c>
      <c r="F219" s="3" t="s">
        <v>891</v>
      </c>
      <c r="G219" s="3">
        <v>89</v>
      </c>
      <c r="H219" s="3" t="s">
        <v>180</v>
      </c>
      <c r="I219" s="3" t="s">
        <v>33</v>
      </c>
      <c r="J219" s="3" t="s">
        <v>34</v>
      </c>
      <c r="K219" s="3"/>
      <c r="L219" s="3"/>
      <c r="M219" s="3"/>
      <c r="N219" s="3" t="s">
        <v>35</v>
      </c>
      <c r="O219" s="3" t="s">
        <v>36</v>
      </c>
      <c r="P219" s="4">
        <v>45911.408599537041</v>
      </c>
      <c r="Q219" s="3">
        <v>7777777</v>
      </c>
      <c r="R219" s="3" t="s">
        <v>37</v>
      </c>
      <c r="S219" s="3"/>
      <c r="T219" s="3"/>
      <c r="U219" s="5" t="s">
        <v>38</v>
      </c>
      <c r="V219" s="3"/>
      <c r="W219" s="3" t="s">
        <v>39</v>
      </c>
      <c r="X219" s="3" t="s">
        <v>41</v>
      </c>
      <c r="Y219" s="3" t="s">
        <v>41</v>
      </c>
      <c r="Z219" s="3" t="s">
        <v>42</v>
      </c>
      <c r="AA219" s="3" t="s">
        <v>49</v>
      </c>
      <c r="AB219" s="3" t="s">
        <v>40</v>
      </c>
      <c r="AC219">
        <f>IFERROR(VLOOKUP(C219,MigradosEfectivamente!B:B,1,FALSE),"No encontrado")</f>
        <v>1095840261</v>
      </c>
    </row>
    <row r="220" spans="1:29" ht="60" x14ac:dyDescent="0.25">
      <c r="A220" s="3" t="s">
        <v>892</v>
      </c>
      <c r="B220" s="3" t="s">
        <v>893</v>
      </c>
      <c r="C220" s="3">
        <v>1098621364</v>
      </c>
      <c r="D220" s="3" t="s">
        <v>894</v>
      </c>
      <c r="E220" s="3">
        <v>3167584933</v>
      </c>
      <c r="F220" s="3" t="s">
        <v>895</v>
      </c>
      <c r="G220" s="3">
        <v>89</v>
      </c>
      <c r="H220" s="3" t="s">
        <v>136</v>
      </c>
      <c r="I220" s="3" t="s">
        <v>33</v>
      </c>
      <c r="J220" s="3" t="s">
        <v>34</v>
      </c>
      <c r="K220" s="3"/>
      <c r="L220" s="3"/>
      <c r="M220" s="3"/>
      <c r="N220" s="3" t="s">
        <v>35</v>
      </c>
      <c r="O220" s="3" t="s">
        <v>36</v>
      </c>
      <c r="P220" s="4">
        <v>45911.339618055557</v>
      </c>
      <c r="Q220" s="3">
        <v>7777777</v>
      </c>
      <c r="R220" s="3" t="s">
        <v>37</v>
      </c>
      <c r="S220" s="3"/>
      <c r="T220" s="3"/>
      <c r="U220" s="5" t="s">
        <v>38</v>
      </c>
      <c r="V220" s="3"/>
      <c r="W220" s="3" t="s">
        <v>60</v>
      </c>
      <c r="X220" s="3" t="s">
        <v>40</v>
      </c>
      <c r="Y220" s="3" t="s">
        <v>40</v>
      </c>
      <c r="Z220" s="3" t="s">
        <v>42</v>
      </c>
      <c r="AA220" s="3" t="s">
        <v>49</v>
      </c>
      <c r="AB220" s="3" t="s">
        <v>40</v>
      </c>
      <c r="AC220" t="str">
        <f>IFERROR(VLOOKUP(C220,MigradosEfectivamente!B:B,1,FALSE),"No encontrado")</f>
        <v>No encontrado</v>
      </c>
    </row>
    <row r="221" spans="1:29" ht="60" x14ac:dyDescent="0.25">
      <c r="A221" s="3">
        <v>23145</v>
      </c>
      <c r="B221" s="3" t="s">
        <v>896</v>
      </c>
      <c r="C221" s="3">
        <v>1100964234</v>
      </c>
      <c r="D221" s="3" t="s">
        <v>670</v>
      </c>
      <c r="E221" s="3">
        <v>3187795198</v>
      </c>
      <c r="F221" s="3" t="s">
        <v>897</v>
      </c>
      <c r="G221" s="3">
        <v>89</v>
      </c>
      <c r="H221" s="3" t="s">
        <v>269</v>
      </c>
      <c r="I221" s="3" t="s">
        <v>33</v>
      </c>
      <c r="J221" s="3" t="s">
        <v>34</v>
      </c>
      <c r="K221" s="3"/>
      <c r="L221" s="3"/>
      <c r="M221" s="3"/>
      <c r="N221" s="3" t="s">
        <v>35</v>
      </c>
      <c r="O221" s="3" t="s">
        <v>36</v>
      </c>
      <c r="P221" s="4">
        <v>45911.337361111109</v>
      </c>
      <c r="Q221" s="3">
        <v>7777777</v>
      </c>
      <c r="R221" s="3" t="s">
        <v>37</v>
      </c>
      <c r="S221" s="3"/>
      <c r="T221" s="3"/>
      <c r="U221" s="5" t="s">
        <v>38</v>
      </c>
      <c r="V221" s="3"/>
      <c r="W221" s="3" t="s">
        <v>60</v>
      </c>
      <c r="X221" s="3" t="s">
        <v>41</v>
      </c>
      <c r="Y221" s="3" t="s">
        <v>41</v>
      </c>
      <c r="Z221" s="3" t="s">
        <v>42</v>
      </c>
      <c r="AA221" s="3" t="s">
        <v>49</v>
      </c>
      <c r="AB221" s="3" t="s">
        <v>40</v>
      </c>
      <c r="AC221">
        <f>IFERROR(VLOOKUP(C221,MigradosEfectivamente!B:B,1,FALSE),"No encontrado")</f>
        <v>1100964234</v>
      </c>
    </row>
    <row r="222" spans="1:29" ht="60" x14ac:dyDescent="0.25">
      <c r="A222" s="3" t="s">
        <v>898</v>
      </c>
      <c r="B222" s="3" t="s">
        <v>899</v>
      </c>
      <c r="C222" s="3">
        <v>1097489264</v>
      </c>
      <c r="D222" s="3" t="s">
        <v>900</v>
      </c>
      <c r="E222" s="3">
        <v>3025627498</v>
      </c>
      <c r="F222" s="3" t="s">
        <v>901</v>
      </c>
      <c r="G222" s="3">
        <v>89</v>
      </c>
      <c r="H222" s="3" t="s">
        <v>97</v>
      </c>
      <c r="I222" s="3" t="s">
        <v>33</v>
      </c>
      <c r="J222" s="3" t="s">
        <v>34</v>
      </c>
      <c r="K222" s="3"/>
      <c r="L222" s="3"/>
      <c r="M222" s="3"/>
      <c r="N222" s="3" t="s">
        <v>35</v>
      </c>
      <c r="O222" s="3" t="s">
        <v>36</v>
      </c>
      <c r="P222" s="4">
        <v>45911.335347222222</v>
      </c>
      <c r="Q222" s="3">
        <v>7777777</v>
      </c>
      <c r="R222" s="3" t="s">
        <v>37</v>
      </c>
      <c r="S222" s="3"/>
      <c r="T222" s="3"/>
      <c r="U222" s="5" t="s">
        <v>38</v>
      </c>
      <c r="V222" s="3"/>
      <c r="W222" s="3" t="s">
        <v>60</v>
      </c>
      <c r="X222" s="3" t="s">
        <v>41</v>
      </c>
      <c r="Y222" s="3" t="s">
        <v>41</v>
      </c>
      <c r="Z222" s="3" t="s">
        <v>42</v>
      </c>
      <c r="AA222" s="3" t="s">
        <v>49</v>
      </c>
      <c r="AB222" s="3" t="s">
        <v>40</v>
      </c>
      <c r="AC222" t="str">
        <f>IFERROR(VLOOKUP(C222,MigradosEfectivamente!B:B,1,FALSE),"No encontrado")</f>
        <v>No encontrado</v>
      </c>
    </row>
    <row r="223" spans="1:29" ht="60" x14ac:dyDescent="0.25">
      <c r="A223" s="3" t="s">
        <v>902</v>
      </c>
      <c r="B223" s="3" t="s">
        <v>903</v>
      </c>
      <c r="C223" s="3">
        <v>1098701504</v>
      </c>
      <c r="D223" s="3" t="s">
        <v>904</v>
      </c>
      <c r="E223" s="3">
        <v>3052670278</v>
      </c>
      <c r="F223" s="3" t="s">
        <v>905</v>
      </c>
      <c r="G223" s="3">
        <v>89</v>
      </c>
      <c r="H223" s="3" t="s">
        <v>48</v>
      </c>
      <c r="I223" s="3" t="s">
        <v>33</v>
      </c>
      <c r="J223" s="3" t="s">
        <v>34</v>
      </c>
      <c r="K223" s="3"/>
      <c r="L223" s="3"/>
      <c r="M223" s="3"/>
      <c r="N223" s="3" t="s">
        <v>35</v>
      </c>
      <c r="O223" s="3" t="s">
        <v>36</v>
      </c>
      <c r="P223" s="4">
        <v>45910.878171296295</v>
      </c>
      <c r="Q223" s="3">
        <v>7777777</v>
      </c>
      <c r="R223" s="3" t="s">
        <v>37</v>
      </c>
      <c r="S223" s="3"/>
      <c r="T223" s="3"/>
      <c r="U223" s="5" t="s">
        <v>38</v>
      </c>
      <c r="V223" s="3"/>
      <c r="W223" s="3" t="s">
        <v>60</v>
      </c>
      <c r="X223" s="3" t="s">
        <v>41</v>
      </c>
      <c r="Y223" s="3" t="s">
        <v>41</v>
      </c>
      <c r="Z223" s="3" t="s">
        <v>42</v>
      </c>
      <c r="AA223" s="3" t="s">
        <v>49</v>
      </c>
      <c r="AB223" s="3" t="s">
        <v>40</v>
      </c>
      <c r="AC223">
        <f>IFERROR(VLOOKUP(C223,MigradosEfectivamente!B:B,1,FALSE),"No encontrado")</f>
        <v>1098701504</v>
      </c>
    </row>
    <row r="224" spans="1:29" ht="60" x14ac:dyDescent="0.25">
      <c r="A224" s="3" t="s">
        <v>906</v>
      </c>
      <c r="B224" s="3" t="s">
        <v>907</v>
      </c>
      <c r="C224" s="3">
        <v>1004804155</v>
      </c>
      <c r="D224" s="3" t="s">
        <v>908</v>
      </c>
      <c r="E224" s="3">
        <v>3126350921</v>
      </c>
      <c r="F224" s="3" t="s">
        <v>909</v>
      </c>
      <c r="G224" s="3">
        <v>89</v>
      </c>
      <c r="H224" s="3" t="s">
        <v>69</v>
      </c>
      <c r="I224" s="3" t="s">
        <v>119</v>
      </c>
      <c r="J224" s="3" t="s">
        <v>34</v>
      </c>
      <c r="K224" s="3"/>
      <c r="L224" s="3"/>
      <c r="M224" s="3"/>
      <c r="N224" s="3" t="s">
        <v>35</v>
      </c>
      <c r="O224" s="3" t="s">
        <v>36</v>
      </c>
      <c r="P224" s="4">
        <v>45910.877986111111</v>
      </c>
      <c r="Q224" s="3">
        <v>7777777</v>
      </c>
      <c r="R224" s="3" t="s">
        <v>37</v>
      </c>
      <c r="S224" s="3"/>
      <c r="T224" s="3"/>
      <c r="U224" s="5" t="s">
        <v>38</v>
      </c>
      <c r="V224" s="3"/>
      <c r="W224" s="3" t="s">
        <v>60</v>
      </c>
      <c r="X224" s="3" t="s">
        <v>40</v>
      </c>
      <c r="Y224" s="3" t="s">
        <v>41</v>
      </c>
      <c r="Z224" s="3" t="s">
        <v>42</v>
      </c>
      <c r="AA224" s="3" t="s">
        <v>49</v>
      </c>
      <c r="AB224" s="3" t="s">
        <v>40</v>
      </c>
      <c r="AC224">
        <f>IFERROR(VLOOKUP(C224,MigradosEfectivamente!B:B,1,FALSE),"No encontrado")</f>
        <v>1004804155</v>
      </c>
    </row>
    <row r="225" spans="1:29" ht="45" x14ac:dyDescent="0.25">
      <c r="A225" s="3" t="s">
        <v>910</v>
      </c>
      <c r="B225" s="3" t="s">
        <v>911</v>
      </c>
      <c r="C225" s="3">
        <v>1005236560</v>
      </c>
      <c r="D225" s="3" t="s">
        <v>912</v>
      </c>
      <c r="E225" s="3">
        <v>3115556212</v>
      </c>
      <c r="F225" s="3" t="s">
        <v>913</v>
      </c>
      <c r="G225" s="3">
        <v>89</v>
      </c>
      <c r="H225" s="3" t="s">
        <v>110</v>
      </c>
      <c r="I225" s="3" t="s">
        <v>33</v>
      </c>
      <c r="J225" s="3" t="s">
        <v>34</v>
      </c>
      <c r="K225" s="3"/>
      <c r="L225" s="3"/>
      <c r="M225" s="3"/>
      <c r="N225" s="3" t="s">
        <v>35</v>
      </c>
      <c r="O225" s="3" t="s">
        <v>36</v>
      </c>
      <c r="P225" s="4">
        <v>45910.733275462961</v>
      </c>
      <c r="Q225" s="3">
        <v>7777777</v>
      </c>
      <c r="R225" s="3" t="s">
        <v>37</v>
      </c>
      <c r="S225" s="3"/>
      <c r="T225" s="3"/>
      <c r="U225" s="5" t="s">
        <v>38</v>
      </c>
      <c r="V225" s="3"/>
      <c r="W225" s="3" t="s">
        <v>39</v>
      </c>
      <c r="X225" s="3" t="s">
        <v>40</v>
      </c>
      <c r="Y225" s="3" t="s">
        <v>41</v>
      </c>
      <c r="Z225" s="3" t="s">
        <v>42</v>
      </c>
      <c r="AA225" s="3" t="s">
        <v>49</v>
      </c>
      <c r="AB225" s="3" t="s">
        <v>40</v>
      </c>
      <c r="AC225" t="str">
        <f>IFERROR(VLOOKUP(C225,MigradosEfectivamente!B:B,1,FALSE),"No encontrado")</f>
        <v>No encontrado</v>
      </c>
    </row>
    <row r="226" spans="1:29" ht="60" x14ac:dyDescent="0.25">
      <c r="A226" s="3" t="s">
        <v>914</v>
      </c>
      <c r="B226" s="3" t="s">
        <v>915</v>
      </c>
      <c r="C226" s="3">
        <v>1098817468</v>
      </c>
      <c r="D226" s="3" t="s">
        <v>104</v>
      </c>
      <c r="E226" s="3" t="s">
        <v>916</v>
      </c>
      <c r="F226" s="3" t="s">
        <v>917</v>
      </c>
      <c r="G226" s="3">
        <v>89</v>
      </c>
      <c r="H226" s="3" t="s">
        <v>59</v>
      </c>
      <c r="I226" s="3" t="s">
        <v>33</v>
      </c>
      <c r="J226" s="3" t="s">
        <v>34</v>
      </c>
      <c r="K226" s="3"/>
      <c r="L226" s="3"/>
      <c r="M226" s="3"/>
      <c r="N226" s="3" t="s">
        <v>35</v>
      </c>
      <c r="O226" s="3" t="s">
        <v>36</v>
      </c>
      <c r="P226" s="4">
        <v>45910.693993055553</v>
      </c>
      <c r="Q226" s="3">
        <v>7777777</v>
      </c>
      <c r="R226" s="3" t="s">
        <v>37</v>
      </c>
      <c r="S226" s="3"/>
      <c r="T226" s="3"/>
      <c r="U226" s="5" t="s">
        <v>38</v>
      </c>
      <c r="V226" s="3"/>
      <c r="W226" s="3" t="s">
        <v>60</v>
      </c>
      <c r="X226" s="3" t="s">
        <v>41</v>
      </c>
      <c r="Y226" s="3" t="s">
        <v>41</v>
      </c>
      <c r="Z226" s="3" t="s">
        <v>42</v>
      </c>
      <c r="AA226" s="3" t="s">
        <v>49</v>
      </c>
      <c r="AB226" s="3" t="s">
        <v>40</v>
      </c>
      <c r="AC226">
        <f>IFERROR(VLOOKUP(C226,MigradosEfectivamente!B:B,1,FALSE),"No encontrado")</f>
        <v>1098817468</v>
      </c>
    </row>
    <row r="227" spans="1:29" ht="45" x14ac:dyDescent="0.25">
      <c r="A227" s="3" t="s">
        <v>918</v>
      </c>
      <c r="B227" s="3" t="s">
        <v>919</v>
      </c>
      <c r="C227" s="3">
        <v>6703289</v>
      </c>
      <c r="D227" s="3" t="s">
        <v>169</v>
      </c>
      <c r="E227" s="3">
        <v>3229042244</v>
      </c>
      <c r="F227" s="3" t="s">
        <v>920</v>
      </c>
      <c r="G227" s="3">
        <v>89</v>
      </c>
      <c r="H227" s="3" t="s">
        <v>97</v>
      </c>
      <c r="I227" s="3" t="s">
        <v>33</v>
      </c>
      <c r="J227" s="3" t="s">
        <v>34</v>
      </c>
      <c r="K227" s="3"/>
      <c r="L227" s="3"/>
      <c r="M227" s="3"/>
      <c r="N227" s="3" t="s">
        <v>35</v>
      </c>
      <c r="O227" s="3" t="s">
        <v>36</v>
      </c>
      <c r="P227" s="4">
        <v>45910.623912037037</v>
      </c>
      <c r="Q227" s="3">
        <v>7777777</v>
      </c>
      <c r="R227" s="3" t="s">
        <v>37</v>
      </c>
      <c r="S227" s="3"/>
      <c r="T227" s="3"/>
      <c r="U227" s="5" t="s">
        <v>38</v>
      </c>
      <c r="V227" s="3"/>
      <c r="W227" s="3" t="s">
        <v>39</v>
      </c>
      <c r="X227" s="3" t="s">
        <v>40</v>
      </c>
      <c r="Y227" s="3" t="s">
        <v>41</v>
      </c>
      <c r="Z227" s="3" t="s">
        <v>42</v>
      </c>
      <c r="AA227" s="3" t="s">
        <v>49</v>
      </c>
      <c r="AB227" s="3" t="s">
        <v>40</v>
      </c>
      <c r="AC227" t="str">
        <f>IFERROR(VLOOKUP(C227,MigradosEfectivamente!B:B,1,FALSE),"No encontrado")</f>
        <v>No encontrado</v>
      </c>
    </row>
    <row r="228" spans="1:29" ht="60" x14ac:dyDescent="0.25">
      <c r="A228" s="3" t="s">
        <v>921</v>
      </c>
      <c r="B228" s="3" t="s">
        <v>922</v>
      </c>
      <c r="C228" s="3">
        <v>1098804671</v>
      </c>
      <c r="D228" s="3" t="s">
        <v>623</v>
      </c>
      <c r="E228" s="3">
        <v>3167181345</v>
      </c>
      <c r="F228" s="3" t="s">
        <v>923</v>
      </c>
      <c r="G228" s="3">
        <v>99</v>
      </c>
      <c r="H228" s="3" t="s">
        <v>48</v>
      </c>
      <c r="I228" s="3" t="s">
        <v>82</v>
      </c>
      <c r="J228" s="3" t="s">
        <v>34</v>
      </c>
      <c r="K228" s="3"/>
      <c r="L228" s="3"/>
      <c r="M228" s="3"/>
      <c r="N228" s="3" t="s">
        <v>35</v>
      </c>
      <c r="O228" s="3" t="s">
        <v>83</v>
      </c>
      <c r="P228" s="4">
        <v>45910.340694444443</v>
      </c>
      <c r="Q228" s="3">
        <v>7777777</v>
      </c>
      <c r="R228" s="3" t="s">
        <v>37</v>
      </c>
      <c r="S228" s="3"/>
      <c r="T228" s="3"/>
      <c r="U228" s="5" t="s">
        <v>38</v>
      </c>
      <c r="V228" s="3"/>
      <c r="W228" s="3" t="s">
        <v>60</v>
      </c>
      <c r="X228" s="3" t="s">
        <v>40</v>
      </c>
      <c r="Y228" s="3" t="s">
        <v>41</v>
      </c>
      <c r="Z228" s="3" t="s">
        <v>42</v>
      </c>
      <c r="AA228" s="3" t="s">
        <v>49</v>
      </c>
      <c r="AB228" s="3" t="s">
        <v>40</v>
      </c>
      <c r="AC228" t="str">
        <f>IFERROR(VLOOKUP(C228,MigradosEfectivamente!B:B,1,FALSE),"No encontrado")</f>
        <v>No encontrado</v>
      </c>
    </row>
    <row r="229" spans="1:29" ht="60" x14ac:dyDescent="0.25">
      <c r="A229" s="3" t="s">
        <v>924</v>
      </c>
      <c r="B229" s="3" t="s">
        <v>925</v>
      </c>
      <c r="C229" s="3">
        <v>1095304156</v>
      </c>
      <c r="D229" s="3" t="s">
        <v>926</v>
      </c>
      <c r="E229" s="3">
        <v>3164996636</v>
      </c>
      <c r="F229" s="3" t="s">
        <v>927</v>
      </c>
      <c r="G229" s="3">
        <v>99</v>
      </c>
      <c r="H229" s="3" t="s">
        <v>32</v>
      </c>
      <c r="I229" s="3" t="s">
        <v>82</v>
      </c>
      <c r="J229" s="3" t="s">
        <v>34</v>
      </c>
      <c r="K229" s="3"/>
      <c r="L229" s="3"/>
      <c r="M229" s="3"/>
      <c r="N229" s="3" t="s">
        <v>35</v>
      </c>
      <c r="O229" s="3" t="s">
        <v>83</v>
      </c>
      <c r="P229" s="4">
        <v>45910.340046296296</v>
      </c>
      <c r="Q229" s="3">
        <v>7777777</v>
      </c>
      <c r="R229" s="3" t="s">
        <v>37</v>
      </c>
      <c r="S229" s="3"/>
      <c r="T229" s="3"/>
      <c r="U229" s="5" t="s">
        <v>38</v>
      </c>
      <c r="V229" s="3"/>
      <c r="W229" s="3" t="s">
        <v>60</v>
      </c>
      <c r="X229" s="3" t="s">
        <v>40</v>
      </c>
      <c r="Y229" s="3" t="s">
        <v>40</v>
      </c>
      <c r="Z229" s="3" t="s">
        <v>42</v>
      </c>
      <c r="AA229" s="3" t="s">
        <v>49</v>
      </c>
      <c r="AB229" s="3" t="s">
        <v>40</v>
      </c>
      <c r="AC229" t="str">
        <f>IFERROR(VLOOKUP(C229,MigradosEfectivamente!B:B,1,FALSE),"No encontrado")</f>
        <v>No encontrado</v>
      </c>
    </row>
    <row r="230" spans="1:29" ht="60" x14ac:dyDescent="0.25">
      <c r="A230" s="3" t="s">
        <v>928</v>
      </c>
      <c r="B230" s="3" t="s">
        <v>929</v>
      </c>
      <c r="C230" s="3">
        <v>1095300992</v>
      </c>
      <c r="D230" s="3" t="s">
        <v>930</v>
      </c>
      <c r="E230" s="3">
        <v>3228842832</v>
      </c>
      <c r="F230" s="3" t="s">
        <v>931</v>
      </c>
      <c r="G230" s="3">
        <v>89</v>
      </c>
      <c r="H230" s="3" t="s">
        <v>97</v>
      </c>
      <c r="I230" s="3" t="s">
        <v>33</v>
      </c>
      <c r="J230" s="3" t="s">
        <v>34</v>
      </c>
      <c r="K230" s="3"/>
      <c r="L230" s="3"/>
      <c r="M230" s="3"/>
      <c r="N230" s="3" t="s">
        <v>35</v>
      </c>
      <c r="O230" s="3" t="s">
        <v>36</v>
      </c>
      <c r="P230" s="4">
        <v>45910.339733796296</v>
      </c>
      <c r="Q230" s="3">
        <v>7777777</v>
      </c>
      <c r="R230" s="3" t="s">
        <v>37</v>
      </c>
      <c r="S230" s="3"/>
      <c r="T230" s="3"/>
      <c r="U230" s="5" t="s">
        <v>38</v>
      </c>
      <c r="V230" s="3"/>
      <c r="W230" s="3" t="s">
        <v>60</v>
      </c>
      <c r="X230" s="3" t="s">
        <v>40</v>
      </c>
      <c r="Y230" s="3" t="s">
        <v>41</v>
      </c>
      <c r="Z230" s="3" t="s">
        <v>42</v>
      </c>
      <c r="AA230" s="3" t="s">
        <v>49</v>
      </c>
      <c r="AB230" s="3" t="s">
        <v>40</v>
      </c>
      <c r="AC230" t="str">
        <f>IFERROR(VLOOKUP(C230,MigradosEfectivamente!B:B,1,FALSE),"No encontrado")</f>
        <v>No encontrado</v>
      </c>
    </row>
    <row r="231" spans="1:29" ht="60" x14ac:dyDescent="0.25">
      <c r="A231" s="3" t="s">
        <v>932</v>
      </c>
      <c r="B231" s="3" t="s">
        <v>933</v>
      </c>
      <c r="C231" s="3">
        <v>1098641781</v>
      </c>
      <c r="D231" s="3" t="s">
        <v>934</v>
      </c>
      <c r="E231" s="3">
        <v>3169327696</v>
      </c>
      <c r="F231" s="3" t="s">
        <v>935</v>
      </c>
      <c r="G231" s="3">
        <v>89</v>
      </c>
      <c r="H231" s="3" t="s">
        <v>54</v>
      </c>
      <c r="I231" s="3" t="s">
        <v>33</v>
      </c>
      <c r="J231" s="3" t="s">
        <v>34</v>
      </c>
      <c r="K231" s="3"/>
      <c r="L231" s="3"/>
      <c r="M231" s="3"/>
      <c r="N231" s="3" t="s">
        <v>35</v>
      </c>
      <c r="O231" s="3" t="s">
        <v>36</v>
      </c>
      <c r="P231" s="4">
        <v>45910.339074074072</v>
      </c>
      <c r="Q231" s="3">
        <v>7777777</v>
      </c>
      <c r="R231" s="3" t="s">
        <v>37</v>
      </c>
      <c r="S231" s="3"/>
      <c r="T231" s="3"/>
      <c r="U231" s="5" t="s">
        <v>38</v>
      </c>
      <c r="V231" s="3"/>
      <c r="W231" s="3" t="s">
        <v>60</v>
      </c>
      <c r="X231" s="3" t="s">
        <v>40</v>
      </c>
      <c r="Y231" s="3" t="s">
        <v>41</v>
      </c>
      <c r="Z231" s="3" t="s">
        <v>42</v>
      </c>
      <c r="AA231" s="3" t="s">
        <v>49</v>
      </c>
      <c r="AB231" s="3" t="s">
        <v>40</v>
      </c>
      <c r="AC231" t="str">
        <f>IFERROR(VLOOKUP(C231,MigradosEfectivamente!B:B,1,FALSE),"No encontrado")</f>
        <v>No encontrado</v>
      </c>
    </row>
    <row r="232" spans="1:29" ht="60" x14ac:dyDescent="0.25">
      <c r="A232" s="3" t="s">
        <v>936</v>
      </c>
      <c r="B232" s="3" t="s">
        <v>937</v>
      </c>
      <c r="C232" s="3">
        <v>1095812262</v>
      </c>
      <c r="D232" s="3" t="s">
        <v>938</v>
      </c>
      <c r="E232" s="3">
        <v>3219391490</v>
      </c>
      <c r="F232" s="3" t="s">
        <v>939</v>
      </c>
      <c r="G232" s="3">
        <v>99</v>
      </c>
      <c r="H232" s="3" t="s">
        <v>32</v>
      </c>
      <c r="I232" s="3" t="s">
        <v>82</v>
      </c>
      <c r="J232" s="3" t="s">
        <v>34</v>
      </c>
      <c r="K232" s="3"/>
      <c r="L232" s="3"/>
      <c r="M232" s="3"/>
      <c r="N232" s="3" t="s">
        <v>35</v>
      </c>
      <c r="O232" s="3" t="s">
        <v>83</v>
      </c>
      <c r="P232" s="4">
        <v>45910.333865740744</v>
      </c>
      <c r="Q232" s="3">
        <v>7777777</v>
      </c>
      <c r="R232" s="3" t="s">
        <v>37</v>
      </c>
      <c r="S232" s="3"/>
      <c r="T232" s="3"/>
      <c r="U232" s="5" t="s">
        <v>38</v>
      </c>
      <c r="V232" s="3"/>
      <c r="W232" s="3" t="s">
        <v>60</v>
      </c>
      <c r="X232" s="3" t="s">
        <v>40</v>
      </c>
      <c r="Y232" s="3" t="s">
        <v>41</v>
      </c>
      <c r="Z232" s="3" t="s">
        <v>42</v>
      </c>
      <c r="AA232" s="3" t="s">
        <v>49</v>
      </c>
      <c r="AB232" s="3" t="s">
        <v>40</v>
      </c>
      <c r="AC232" t="str">
        <f>IFERROR(VLOOKUP(C232,MigradosEfectivamente!B:B,1,FALSE),"No encontrado")</f>
        <v>No encontrado</v>
      </c>
    </row>
    <row r="233" spans="1:29" ht="45" x14ac:dyDescent="0.25">
      <c r="A233" s="3" t="s">
        <v>940</v>
      </c>
      <c r="B233" s="3" t="s">
        <v>941</v>
      </c>
      <c r="C233" s="3">
        <v>1098738335</v>
      </c>
      <c r="D233" s="3" t="s">
        <v>942</v>
      </c>
      <c r="E233" s="3">
        <v>3023322589</v>
      </c>
      <c r="F233" s="3" t="s">
        <v>943</v>
      </c>
      <c r="G233" s="3">
        <v>89</v>
      </c>
      <c r="H233" s="3" t="s">
        <v>59</v>
      </c>
      <c r="I233" s="3" t="s">
        <v>33</v>
      </c>
      <c r="J233" s="3" t="s">
        <v>34</v>
      </c>
      <c r="K233" s="3"/>
      <c r="L233" s="3"/>
      <c r="M233" s="3"/>
      <c r="N233" s="3" t="s">
        <v>35</v>
      </c>
      <c r="O233" s="3" t="s">
        <v>36</v>
      </c>
      <c r="P233" s="4">
        <v>45909.558263888888</v>
      </c>
      <c r="Q233" s="3">
        <v>7777777</v>
      </c>
      <c r="R233" s="3" t="s">
        <v>37</v>
      </c>
      <c r="S233" s="3"/>
      <c r="T233" s="3"/>
      <c r="U233" s="5" t="s">
        <v>38</v>
      </c>
      <c r="V233" s="3"/>
      <c r="W233" s="3" t="s">
        <v>39</v>
      </c>
      <c r="X233" s="3" t="s">
        <v>41</v>
      </c>
      <c r="Y233" s="3" t="s">
        <v>41</v>
      </c>
      <c r="Z233" s="3" t="s">
        <v>92</v>
      </c>
      <c r="AA233" s="3" t="s">
        <v>49</v>
      </c>
      <c r="AB233" s="3" t="s">
        <v>41</v>
      </c>
      <c r="AC233" t="str">
        <f>IFERROR(VLOOKUP(C233,MigradosEfectivamente!B:B,1,FALSE),"No encontrado")</f>
        <v>No encontrado</v>
      </c>
    </row>
    <row r="234" spans="1:29" ht="45" x14ac:dyDescent="0.25">
      <c r="A234" s="3">
        <v>23119</v>
      </c>
      <c r="B234" s="3" t="s">
        <v>944</v>
      </c>
      <c r="C234" s="3">
        <v>1007463023</v>
      </c>
      <c r="D234" s="3" t="s">
        <v>57</v>
      </c>
      <c r="E234" s="3">
        <v>3157256412</v>
      </c>
      <c r="F234" s="3" t="s">
        <v>945</v>
      </c>
      <c r="G234" s="3">
        <v>89</v>
      </c>
      <c r="H234" s="3" t="s">
        <v>269</v>
      </c>
      <c r="I234" s="3" t="s">
        <v>33</v>
      </c>
      <c r="J234" s="3" t="s">
        <v>34</v>
      </c>
      <c r="K234" s="3"/>
      <c r="L234" s="3"/>
      <c r="M234" s="3"/>
      <c r="N234" s="3" t="s">
        <v>35</v>
      </c>
      <c r="O234" s="3" t="s">
        <v>36</v>
      </c>
      <c r="P234" s="4">
        <v>45909.558263888888</v>
      </c>
      <c r="Q234" s="3">
        <v>7777777</v>
      </c>
      <c r="R234" s="3" t="s">
        <v>37</v>
      </c>
      <c r="S234" s="3"/>
      <c r="T234" s="3"/>
      <c r="U234" s="5" t="s">
        <v>38</v>
      </c>
      <c r="V234" s="3"/>
      <c r="W234" s="3" t="s">
        <v>39</v>
      </c>
      <c r="X234" s="3" t="s">
        <v>40</v>
      </c>
      <c r="Y234" s="3" t="s">
        <v>41</v>
      </c>
      <c r="Z234" s="3" t="s">
        <v>42</v>
      </c>
      <c r="AA234" s="3" t="s">
        <v>49</v>
      </c>
      <c r="AB234" s="3" t="s">
        <v>40</v>
      </c>
      <c r="AC234" t="str">
        <f>IFERROR(VLOOKUP(C234,MigradosEfectivamente!B:B,1,FALSE),"No encontrado")</f>
        <v>No encontrado</v>
      </c>
    </row>
    <row r="235" spans="1:29" ht="45" x14ac:dyDescent="0.25">
      <c r="A235" s="3" t="s">
        <v>946</v>
      </c>
      <c r="B235" s="3" t="s">
        <v>947</v>
      </c>
      <c r="C235" s="3">
        <v>1097492214</v>
      </c>
      <c r="D235" s="3" t="s">
        <v>169</v>
      </c>
      <c r="E235" s="3">
        <v>3162676608</v>
      </c>
      <c r="F235" s="3" t="s">
        <v>948</v>
      </c>
      <c r="G235" s="3">
        <v>89</v>
      </c>
      <c r="H235" s="3" t="s">
        <v>110</v>
      </c>
      <c r="I235" s="3" t="s">
        <v>33</v>
      </c>
      <c r="J235" s="3" t="s">
        <v>34</v>
      </c>
      <c r="K235" s="3"/>
      <c r="L235" s="3"/>
      <c r="M235" s="3"/>
      <c r="N235" s="3" t="s">
        <v>35</v>
      </c>
      <c r="O235" s="3" t="s">
        <v>36</v>
      </c>
      <c r="P235" s="4">
        <v>45909.558263888888</v>
      </c>
      <c r="Q235" s="3">
        <v>7777777</v>
      </c>
      <c r="R235" s="3" t="s">
        <v>37</v>
      </c>
      <c r="S235" s="3"/>
      <c r="T235" s="3"/>
      <c r="U235" s="5" t="s">
        <v>38</v>
      </c>
      <c r="V235" s="3"/>
      <c r="W235" s="3" t="s">
        <v>39</v>
      </c>
      <c r="X235" s="3" t="s">
        <v>41</v>
      </c>
      <c r="Y235" s="3" t="s">
        <v>41</v>
      </c>
      <c r="Z235" s="3" t="s">
        <v>42</v>
      </c>
      <c r="AA235" s="3" t="s">
        <v>49</v>
      </c>
      <c r="AB235" s="3" t="s">
        <v>40</v>
      </c>
      <c r="AC235">
        <f>IFERROR(VLOOKUP(C235,MigradosEfectivamente!B:B,1,FALSE),"No encontrado")</f>
        <v>1097492214</v>
      </c>
    </row>
    <row r="236" spans="1:29" ht="45" x14ac:dyDescent="0.25">
      <c r="A236" s="3" t="s">
        <v>949</v>
      </c>
      <c r="B236" s="3" t="s">
        <v>950</v>
      </c>
      <c r="C236" s="3">
        <v>1096065075</v>
      </c>
      <c r="D236" s="3" t="s">
        <v>598</v>
      </c>
      <c r="E236" s="3">
        <v>3214127243</v>
      </c>
      <c r="F236" s="3" t="s">
        <v>951</v>
      </c>
      <c r="G236" s="3">
        <v>89</v>
      </c>
      <c r="H236" s="3" t="s">
        <v>97</v>
      </c>
      <c r="I236" s="3" t="s">
        <v>33</v>
      </c>
      <c r="J236" s="3" t="s">
        <v>34</v>
      </c>
      <c r="K236" s="3"/>
      <c r="L236" s="3"/>
      <c r="M236" s="3"/>
      <c r="N236" s="3" t="s">
        <v>35</v>
      </c>
      <c r="O236" s="3" t="s">
        <v>36</v>
      </c>
      <c r="P236" s="4">
        <v>45909.558263888888</v>
      </c>
      <c r="Q236" s="3">
        <v>7777777</v>
      </c>
      <c r="R236" s="3" t="s">
        <v>37</v>
      </c>
      <c r="S236" s="3"/>
      <c r="T236" s="3"/>
      <c r="U236" s="5" t="s">
        <v>38</v>
      </c>
      <c r="V236" s="3"/>
      <c r="W236" s="3" t="s">
        <v>39</v>
      </c>
      <c r="X236" s="3" t="s">
        <v>41</v>
      </c>
      <c r="Y236" s="3" t="s">
        <v>41</v>
      </c>
      <c r="Z236" s="3" t="s">
        <v>42</v>
      </c>
      <c r="AA236" s="3" t="s">
        <v>49</v>
      </c>
      <c r="AB236" s="3" t="s">
        <v>40</v>
      </c>
      <c r="AC236" t="str">
        <f>IFERROR(VLOOKUP(C236,MigradosEfectivamente!B:B,1,FALSE),"No encontrado")</f>
        <v>No encontrado</v>
      </c>
    </row>
    <row r="237" spans="1:29" ht="60" x14ac:dyDescent="0.25">
      <c r="A237" s="3" t="s">
        <v>952</v>
      </c>
      <c r="B237" s="3" t="s">
        <v>953</v>
      </c>
      <c r="C237" s="3">
        <v>1005328085</v>
      </c>
      <c r="D237" s="3" t="s">
        <v>954</v>
      </c>
      <c r="E237" s="3">
        <v>3108153351</v>
      </c>
      <c r="F237" s="3" t="s">
        <v>955</v>
      </c>
      <c r="G237" s="3">
        <v>99</v>
      </c>
      <c r="H237" s="3" t="s">
        <v>110</v>
      </c>
      <c r="I237" s="3" t="s">
        <v>82</v>
      </c>
      <c r="J237" s="3" t="s">
        <v>34</v>
      </c>
      <c r="K237" s="3"/>
      <c r="L237" s="3"/>
      <c r="M237" s="3"/>
      <c r="N237" s="3" t="s">
        <v>35</v>
      </c>
      <c r="O237" s="3" t="s">
        <v>83</v>
      </c>
      <c r="P237" s="4">
        <v>45909.558263888888</v>
      </c>
      <c r="Q237" s="3">
        <v>7777777</v>
      </c>
      <c r="R237" s="3" t="s">
        <v>37</v>
      </c>
      <c r="S237" s="3"/>
      <c r="T237" s="3"/>
      <c r="U237" s="5" t="s">
        <v>38</v>
      </c>
      <c r="V237" s="3"/>
      <c r="W237" s="3" t="s">
        <v>60</v>
      </c>
      <c r="X237" s="3" t="s">
        <v>41</v>
      </c>
      <c r="Y237" s="3" t="s">
        <v>41</v>
      </c>
      <c r="Z237" s="3" t="s">
        <v>42</v>
      </c>
      <c r="AA237" s="3" t="s">
        <v>49</v>
      </c>
      <c r="AB237" s="3" t="s">
        <v>40</v>
      </c>
      <c r="AC237">
        <f>IFERROR(VLOOKUP(C237,MigradosEfectivamente!B:B,1,FALSE),"No encontrado")</f>
        <v>1005328085</v>
      </c>
    </row>
    <row r="238" spans="1:29" ht="45" x14ac:dyDescent="0.25">
      <c r="A238" s="3" t="s">
        <v>956</v>
      </c>
      <c r="B238" s="3" t="s">
        <v>957</v>
      </c>
      <c r="C238" s="3">
        <v>1090511709</v>
      </c>
      <c r="D238" s="3" t="s">
        <v>46</v>
      </c>
      <c r="E238" s="3">
        <v>3138545486</v>
      </c>
      <c r="F238" s="3" t="s">
        <v>958</v>
      </c>
      <c r="G238" s="3">
        <v>89</v>
      </c>
      <c r="H238" s="3" t="s">
        <v>48</v>
      </c>
      <c r="I238" s="3" t="s">
        <v>33</v>
      </c>
      <c r="J238" s="3" t="s">
        <v>34</v>
      </c>
      <c r="K238" s="3"/>
      <c r="L238" s="3"/>
      <c r="M238" s="3"/>
      <c r="N238" s="3" t="s">
        <v>35</v>
      </c>
      <c r="O238" s="3" t="s">
        <v>36</v>
      </c>
      <c r="P238" s="4">
        <v>45908.599930555552</v>
      </c>
      <c r="Q238" s="3">
        <v>7777777</v>
      </c>
      <c r="R238" s="3" t="s">
        <v>37</v>
      </c>
      <c r="S238" s="3"/>
      <c r="T238" s="3"/>
      <c r="U238" s="5" t="s">
        <v>38</v>
      </c>
      <c r="V238" s="3"/>
      <c r="W238" s="3" t="s">
        <v>39</v>
      </c>
      <c r="X238" s="3" t="s">
        <v>40</v>
      </c>
      <c r="Y238" s="3" t="s">
        <v>41</v>
      </c>
      <c r="Z238" s="3" t="s">
        <v>42</v>
      </c>
      <c r="AA238" s="3" t="s">
        <v>49</v>
      </c>
      <c r="AB238" s="3" t="s">
        <v>40</v>
      </c>
      <c r="AC238" t="str">
        <f>IFERROR(VLOOKUP(C238,MigradosEfectivamente!B:B,1,FALSE),"No encontrado")</f>
        <v>No encontrado</v>
      </c>
    </row>
    <row r="239" spans="1:29" ht="45" x14ac:dyDescent="0.25">
      <c r="A239" s="3" t="s">
        <v>959</v>
      </c>
      <c r="B239" s="3" t="s">
        <v>960</v>
      </c>
      <c r="C239" s="3">
        <v>63546402</v>
      </c>
      <c r="D239" s="3" t="s">
        <v>57</v>
      </c>
      <c r="E239" s="3">
        <v>3174638747</v>
      </c>
      <c r="F239" s="3" t="s">
        <v>961</v>
      </c>
      <c r="G239" s="3">
        <v>89</v>
      </c>
      <c r="H239" s="3" t="s">
        <v>97</v>
      </c>
      <c r="I239" s="3" t="s">
        <v>33</v>
      </c>
      <c r="J239" s="3" t="s">
        <v>34</v>
      </c>
      <c r="K239" s="3"/>
      <c r="L239" s="3"/>
      <c r="M239" s="3"/>
      <c r="N239" s="3" t="s">
        <v>35</v>
      </c>
      <c r="O239" s="3" t="s">
        <v>36</v>
      </c>
      <c r="P239" s="4">
        <v>45908.599930555552</v>
      </c>
      <c r="Q239" s="3">
        <v>7777777</v>
      </c>
      <c r="R239" s="3" t="s">
        <v>37</v>
      </c>
      <c r="S239" s="3"/>
      <c r="T239" s="3"/>
      <c r="U239" s="5" t="s">
        <v>38</v>
      </c>
      <c r="V239" s="3"/>
      <c r="W239" s="3" t="s">
        <v>39</v>
      </c>
      <c r="X239" s="3" t="s">
        <v>40</v>
      </c>
      <c r="Y239" s="3" t="s">
        <v>41</v>
      </c>
      <c r="Z239" s="3" t="s">
        <v>70</v>
      </c>
      <c r="AA239" s="3" t="s">
        <v>49</v>
      </c>
      <c r="AB239" s="3" t="s">
        <v>40</v>
      </c>
      <c r="AC239" t="str">
        <f>IFERROR(VLOOKUP(C239,MigradosEfectivamente!B:B,1,FALSE),"No encontrado")</f>
        <v>No encontrado</v>
      </c>
    </row>
    <row r="240" spans="1:29" ht="45" x14ac:dyDescent="0.25">
      <c r="A240" s="3" t="s">
        <v>962</v>
      </c>
      <c r="B240" s="3" t="s">
        <v>963</v>
      </c>
      <c r="C240" s="3">
        <v>1095787645</v>
      </c>
      <c r="D240" s="3" t="s">
        <v>169</v>
      </c>
      <c r="E240" s="3">
        <v>3233631645</v>
      </c>
      <c r="F240" s="3" t="s">
        <v>964</v>
      </c>
      <c r="G240" s="3">
        <v>89</v>
      </c>
      <c r="H240" s="3" t="s">
        <v>54</v>
      </c>
      <c r="I240" s="3" t="s">
        <v>33</v>
      </c>
      <c r="J240" s="3" t="s">
        <v>34</v>
      </c>
      <c r="K240" s="3"/>
      <c r="L240" s="3"/>
      <c r="M240" s="3"/>
      <c r="N240" s="3" t="s">
        <v>35</v>
      </c>
      <c r="O240" s="3" t="s">
        <v>36</v>
      </c>
      <c r="P240" s="4">
        <v>45908.599930555552</v>
      </c>
      <c r="Q240" s="3">
        <v>7777777</v>
      </c>
      <c r="R240" s="3" t="s">
        <v>37</v>
      </c>
      <c r="S240" s="3"/>
      <c r="T240" s="3"/>
      <c r="U240" s="5" t="s">
        <v>38</v>
      </c>
      <c r="V240" s="3"/>
      <c r="W240" s="3" t="s">
        <v>39</v>
      </c>
      <c r="X240" s="3" t="s">
        <v>40</v>
      </c>
      <c r="Y240" s="3" t="s">
        <v>41</v>
      </c>
      <c r="Z240" s="3" t="s">
        <v>70</v>
      </c>
      <c r="AA240" s="3" t="s">
        <v>49</v>
      </c>
      <c r="AB240" s="3" t="s">
        <v>41</v>
      </c>
      <c r="AC240" t="str">
        <f>IFERROR(VLOOKUP(C240,MigradosEfectivamente!B:B,1,FALSE),"No encontrado")</f>
        <v>No encontrado</v>
      </c>
    </row>
    <row r="241" spans="1:29" ht="45" x14ac:dyDescent="0.25">
      <c r="A241" s="3" t="s">
        <v>965</v>
      </c>
      <c r="B241" s="3" t="s">
        <v>966</v>
      </c>
      <c r="C241" s="3">
        <v>1006794943</v>
      </c>
      <c r="D241" s="3" t="s">
        <v>104</v>
      </c>
      <c r="E241" s="3">
        <v>3143455867</v>
      </c>
      <c r="F241" s="3" t="s">
        <v>967</v>
      </c>
      <c r="G241" s="3">
        <v>89</v>
      </c>
      <c r="H241" s="3" t="s">
        <v>97</v>
      </c>
      <c r="I241" s="3" t="s">
        <v>33</v>
      </c>
      <c r="J241" s="3" t="s">
        <v>34</v>
      </c>
      <c r="K241" s="3"/>
      <c r="L241" s="3"/>
      <c r="M241" s="3"/>
      <c r="N241" s="3" t="s">
        <v>35</v>
      </c>
      <c r="O241" s="3" t="s">
        <v>36</v>
      </c>
      <c r="P241" s="4">
        <v>45908.599930555552</v>
      </c>
      <c r="Q241" s="3">
        <v>7777777</v>
      </c>
      <c r="R241" s="3" t="s">
        <v>37</v>
      </c>
      <c r="S241" s="3"/>
      <c r="T241" s="3"/>
      <c r="U241" s="5" t="s">
        <v>38</v>
      </c>
      <c r="V241" s="3"/>
      <c r="W241" s="3" t="s">
        <v>39</v>
      </c>
      <c r="X241" s="3" t="s">
        <v>40</v>
      </c>
      <c r="Y241" s="3" t="s">
        <v>41</v>
      </c>
      <c r="Z241" s="3" t="s">
        <v>42</v>
      </c>
      <c r="AA241" s="3" t="s">
        <v>49</v>
      </c>
      <c r="AB241" s="3" t="s">
        <v>40</v>
      </c>
      <c r="AC241" t="str">
        <f>IFERROR(VLOOKUP(C241,MigradosEfectivamente!B:B,1,FALSE),"No encontrado")</f>
        <v>No encontrado</v>
      </c>
    </row>
    <row r="242" spans="1:29" ht="60" x14ac:dyDescent="0.25">
      <c r="A242" s="3" t="s">
        <v>968</v>
      </c>
      <c r="B242" s="3" t="s">
        <v>969</v>
      </c>
      <c r="C242" s="3">
        <v>1090431771</v>
      </c>
      <c r="D242" s="3" t="s">
        <v>970</v>
      </c>
      <c r="E242" s="3">
        <v>3133591606</v>
      </c>
      <c r="F242" s="3" t="s">
        <v>971</v>
      </c>
      <c r="G242" s="3">
        <v>89</v>
      </c>
      <c r="H242" s="3" t="s">
        <v>136</v>
      </c>
      <c r="I242" s="3" t="s">
        <v>33</v>
      </c>
      <c r="J242" s="3" t="s">
        <v>34</v>
      </c>
      <c r="K242" s="3"/>
      <c r="L242" s="3"/>
      <c r="M242" s="3"/>
      <c r="N242" s="3" t="s">
        <v>35</v>
      </c>
      <c r="O242" s="3" t="s">
        <v>36</v>
      </c>
      <c r="P242" s="4">
        <v>45908.599930555552</v>
      </c>
      <c r="Q242" s="3">
        <v>7777777</v>
      </c>
      <c r="R242" s="3" t="s">
        <v>37</v>
      </c>
      <c r="S242" s="3"/>
      <c r="T242" s="3"/>
      <c r="U242" s="5" t="s">
        <v>38</v>
      </c>
      <c r="V242" s="3"/>
      <c r="W242" s="3" t="s">
        <v>60</v>
      </c>
      <c r="X242" s="3" t="s">
        <v>40</v>
      </c>
      <c r="Y242" s="3" t="s">
        <v>41</v>
      </c>
      <c r="Z242" s="3" t="s">
        <v>42</v>
      </c>
      <c r="AA242" s="3" t="s">
        <v>49</v>
      </c>
      <c r="AB242" s="3" t="s">
        <v>40</v>
      </c>
      <c r="AC242" t="str">
        <f>IFERROR(VLOOKUP(C242,MigradosEfectivamente!B:B,1,FALSE),"No encontrado")</f>
        <v>No encontrado</v>
      </c>
    </row>
    <row r="243" spans="1:29" ht="60" x14ac:dyDescent="0.25">
      <c r="A243" s="3" t="s">
        <v>972</v>
      </c>
      <c r="B243" s="3" t="s">
        <v>553</v>
      </c>
      <c r="C243" s="3">
        <v>1000580563</v>
      </c>
      <c r="D243" s="3" t="s">
        <v>973</v>
      </c>
      <c r="E243" s="3">
        <v>3155597870</v>
      </c>
      <c r="F243" s="3" t="s">
        <v>974</v>
      </c>
      <c r="G243" s="3">
        <v>89</v>
      </c>
      <c r="H243" s="3" t="s">
        <v>136</v>
      </c>
      <c r="I243" s="3" t="s">
        <v>33</v>
      </c>
      <c r="J243" s="3" t="s">
        <v>34</v>
      </c>
      <c r="K243" s="3"/>
      <c r="L243" s="3"/>
      <c r="M243" s="3"/>
      <c r="N243" s="3" t="s">
        <v>35</v>
      </c>
      <c r="O243" s="3" t="s">
        <v>36</v>
      </c>
      <c r="P243" s="4">
        <v>45908.599930555552</v>
      </c>
      <c r="Q243" s="3">
        <v>7777777</v>
      </c>
      <c r="R243" s="3" t="s">
        <v>37</v>
      </c>
      <c r="S243" s="3"/>
      <c r="T243" s="3"/>
      <c r="U243" s="5" t="s">
        <v>38</v>
      </c>
      <c r="V243" s="3"/>
      <c r="W243" s="3" t="s">
        <v>60</v>
      </c>
      <c r="X243" s="3" t="s">
        <v>40</v>
      </c>
      <c r="Y243" s="3" t="s">
        <v>40</v>
      </c>
      <c r="Z243" s="3" t="s">
        <v>42</v>
      </c>
      <c r="AA243" s="3" t="s">
        <v>49</v>
      </c>
      <c r="AB243" s="3" t="s">
        <v>40</v>
      </c>
      <c r="AC243" t="str">
        <f>IFERROR(VLOOKUP(C243,MigradosEfectivamente!B:B,1,FALSE),"No encontrado")</f>
        <v>No encontrado</v>
      </c>
    </row>
    <row r="244" spans="1:29" ht="45" x14ac:dyDescent="0.25">
      <c r="A244" s="3" t="s">
        <v>975</v>
      </c>
      <c r="B244" s="3" t="s">
        <v>976</v>
      </c>
      <c r="C244" s="3">
        <v>1232890659</v>
      </c>
      <c r="D244" s="3" t="s">
        <v>169</v>
      </c>
      <c r="E244" s="3">
        <v>3247938305</v>
      </c>
      <c r="F244" s="3" t="s">
        <v>977</v>
      </c>
      <c r="G244" s="3">
        <v>89</v>
      </c>
      <c r="H244" s="3" t="s">
        <v>97</v>
      </c>
      <c r="I244" s="3" t="s">
        <v>33</v>
      </c>
      <c r="J244" s="3" t="s">
        <v>34</v>
      </c>
      <c r="K244" s="3"/>
      <c r="L244" s="3"/>
      <c r="M244" s="3"/>
      <c r="N244" s="3" t="s">
        <v>35</v>
      </c>
      <c r="O244" s="3" t="s">
        <v>36</v>
      </c>
      <c r="P244" s="4">
        <v>45908.599930555552</v>
      </c>
      <c r="Q244" s="3">
        <v>7777777</v>
      </c>
      <c r="R244" s="3" t="s">
        <v>37</v>
      </c>
      <c r="S244" s="3"/>
      <c r="T244" s="3"/>
      <c r="U244" s="5" t="s">
        <v>38</v>
      </c>
      <c r="V244" s="3"/>
      <c r="W244" s="3" t="s">
        <v>39</v>
      </c>
      <c r="X244" s="3" t="s">
        <v>40</v>
      </c>
      <c r="Y244" s="3" t="s">
        <v>41</v>
      </c>
      <c r="Z244" s="3" t="s">
        <v>42</v>
      </c>
      <c r="AA244" s="3" t="s">
        <v>49</v>
      </c>
      <c r="AB244" s="3" t="s">
        <v>40</v>
      </c>
      <c r="AC244" t="str">
        <f>IFERROR(VLOOKUP(C244,MigradosEfectivamente!B:B,1,FALSE),"No encontrado")</f>
        <v>No encontrado</v>
      </c>
    </row>
    <row r="245" spans="1:29" ht="60" x14ac:dyDescent="0.25">
      <c r="A245" s="3" t="s">
        <v>978</v>
      </c>
      <c r="B245" s="3" t="s">
        <v>979</v>
      </c>
      <c r="C245" s="3">
        <v>1098611285</v>
      </c>
      <c r="D245" s="3" t="s">
        <v>980</v>
      </c>
      <c r="E245" s="3" t="s">
        <v>981</v>
      </c>
      <c r="F245" s="3" t="s">
        <v>982</v>
      </c>
      <c r="G245" s="3">
        <v>89</v>
      </c>
      <c r="H245" s="3" t="s">
        <v>110</v>
      </c>
      <c r="I245" s="3" t="s">
        <v>33</v>
      </c>
      <c r="J245" s="3" t="s">
        <v>34</v>
      </c>
      <c r="K245" s="3"/>
      <c r="L245" s="3"/>
      <c r="M245" s="3"/>
      <c r="N245" s="3" t="s">
        <v>35</v>
      </c>
      <c r="O245" s="3" t="s">
        <v>36</v>
      </c>
      <c r="P245" s="4">
        <v>45907.683263888888</v>
      </c>
      <c r="Q245" s="3">
        <v>7777777</v>
      </c>
      <c r="R245" s="3" t="s">
        <v>37</v>
      </c>
      <c r="S245" s="3"/>
      <c r="T245" s="3"/>
      <c r="U245" s="5" t="s">
        <v>38</v>
      </c>
      <c r="V245" s="3"/>
      <c r="W245" s="3" t="s">
        <v>60</v>
      </c>
      <c r="X245" s="3" t="s">
        <v>41</v>
      </c>
      <c r="Y245" s="3" t="s">
        <v>41</v>
      </c>
      <c r="Z245" s="3" t="s">
        <v>42</v>
      </c>
      <c r="AA245" s="3" t="s">
        <v>49</v>
      </c>
      <c r="AB245" s="3" t="s">
        <v>40</v>
      </c>
      <c r="AC245" t="str">
        <f>IFERROR(VLOOKUP(C245,MigradosEfectivamente!B:B,1,FALSE),"No encontrado")</f>
        <v>No encontrado</v>
      </c>
    </row>
    <row r="246" spans="1:29" ht="60" x14ac:dyDescent="0.25">
      <c r="A246" s="3" t="s">
        <v>983</v>
      </c>
      <c r="B246" s="3" t="s">
        <v>984</v>
      </c>
      <c r="C246" s="3">
        <v>6193574</v>
      </c>
      <c r="D246" s="3" t="s">
        <v>169</v>
      </c>
      <c r="E246" s="3">
        <v>3165168572</v>
      </c>
      <c r="F246" s="3" t="s">
        <v>985</v>
      </c>
      <c r="G246" s="3">
        <v>99</v>
      </c>
      <c r="H246" s="3" t="s">
        <v>110</v>
      </c>
      <c r="I246" s="3" t="s">
        <v>82</v>
      </c>
      <c r="J246" s="3" t="s">
        <v>34</v>
      </c>
      <c r="K246" s="3"/>
      <c r="L246" s="3"/>
      <c r="M246" s="3"/>
      <c r="N246" s="3" t="s">
        <v>35</v>
      </c>
      <c r="O246" s="3" t="s">
        <v>83</v>
      </c>
      <c r="P246" s="4">
        <v>45907.683263888888</v>
      </c>
      <c r="Q246" s="3">
        <v>7777777</v>
      </c>
      <c r="R246" s="3" t="s">
        <v>37</v>
      </c>
      <c r="S246" s="3"/>
      <c r="T246" s="3"/>
      <c r="U246" s="5" t="s">
        <v>38</v>
      </c>
      <c r="V246" s="3"/>
      <c r="W246" s="3" t="s">
        <v>60</v>
      </c>
      <c r="X246" s="3" t="s">
        <v>40</v>
      </c>
      <c r="Y246" s="3" t="s">
        <v>41</v>
      </c>
      <c r="Z246" s="3" t="s">
        <v>42</v>
      </c>
      <c r="AA246" s="3" t="s">
        <v>49</v>
      </c>
      <c r="AB246" s="3" t="s">
        <v>40</v>
      </c>
      <c r="AC246" t="str">
        <f>IFERROR(VLOOKUP(C246,MigradosEfectivamente!B:B,1,FALSE),"No encontrado")</f>
        <v>No encontrado</v>
      </c>
    </row>
    <row r="247" spans="1:29" ht="60" x14ac:dyDescent="0.25">
      <c r="A247" s="3" t="s">
        <v>986</v>
      </c>
      <c r="B247" s="3" t="s">
        <v>987</v>
      </c>
      <c r="C247" s="3">
        <v>1091354872</v>
      </c>
      <c r="D247" s="3" t="s">
        <v>288</v>
      </c>
      <c r="E247" s="3">
        <v>3160800067</v>
      </c>
      <c r="F247" s="3" t="s">
        <v>988</v>
      </c>
      <c r="G247" s="3">
        <v>89</v>
      </c>
      <c r="H247" s="3" t="s">
        <v>69</v>
      </c>
      <c r="I247" s="3" t="s">
        <v>82</v>
      </c>
      <c r="J247" s="3" t="s">
        <v>34</v>
      </c>
      <c r="K247" s="3"/>
      <c r="L247" s="3"/>
      <c r="M247" s="3"/>
      <c r="N247" s="3" t="s">
        <v>35</v>
      </c>
      <c r="O247" s="3" t="s">
        <v>36</v>
      </c>
      <c r="P247" s="4">
        <v>45907.683263888888</v>
      </c>
      <c r="Q247" s="3">
        <v>7777777</v>
      </c>
      <c r="R247" s="3" t="s">
        <v>37</v>
      </c>
      <c r="S247" s="3"/>
      <c r="T247" s="3"/>
      <c r="U247" s="5" t="s">
        <v>38</v>
      </c>
      <c r="V247" s="3"/>
      <c r="W247" s="3" t="s">
        <v>60</v>
      </c>
      <c r="X247" s="3" t="s">
        <v>41</v>
      </c>
      <c r="Y247" s="3" t="s">
        <v>41</v>
      </c>
      <c r="Z247" s="3" t="s">
        <v>42</v>
      </c>
      <c r="AA247" s="3" t="s">
        <v>49</v>
      </c>
      <c r="AB247" s="3" t="s">
        <v>40</v>
      </c>
      <c r="AC247">
        <f>IFERROR(VLOOKUP(C247,MigradosEfectivamente!B:B,1,FALSE),"No encontrado")</f>
        <v>1091354872</v>
      </c>
    </row>
    <row r="248" spans="1:29" ht="45" x14ac:dyDescent="0.25">
      <c r="A248" s="3" t="s">
        <v>989</v>
      </c>
      <c r="B248" s="3" t="s">
        <v>990</v>
      </c>
      <c r="C248" s="3">
        <v>1091353513</v>
      </c>
      <c r="D248" s="3" t="s">
        <v>991</v>
      </c>
      <c r="E248" s="3">
        <v>3222508111</v>
      </c>
      <c r="F248" s="3" t="s">
        <v>992</v>
      </c>
      <c r="G248" s="3">
        <v>690</v>
      </c>
      <c r="H248" s="3" t="s">
        <v>69</v>
      </c>
      <c r="I248" s="3" t="s">
        <v>993</v>
      </c>
      <c r="J248" s="3" t="s">
        <v>34</v>
      </c>
      <c r="K248" s="3"/>
      <c r="L248" s="3"/>
      <c r="M248" s="3"/>
      <c r="N248" s="3" t="s">
        <v>35</v>
      </c>
      <c r="O248" s="3" t="s">
        <v>994</v>
      </c>
      <c r="P248" s="4">
        <v>45907.683263888888</v>
      </c>
      <c r="Q248" s="3">
        <v>7777777</v>
      </c>
      <c r="R248" s="3" t="s">
        <v>37</v>
      </c>
      <c r="S248" s="3"/>
      <c r="T248" s="3"/>
      <c r="U248" s="5" t="s">
        <v>38</v>
      </c>
      <c r="V248" s="3"/>
      <c r="W248" s="3" t="s">
        <v>39</v>
      </c>
      <c r="X248" s="3" t="s">
        <v>41</v>
      </c>
      <c r="Y248" s="3" t="s">
        <v>40</v>
      </c>
      <c r="Z248" s="3" t="s">
        <v>70</v>
      </c>
      <c r="AA248" s="3" t="s">
        <v>49</v>
      </c>
      <c r="AB248" s="3" t="s">
        <v>41</v>
      </c>
      <c r="AC248" t="str">
        <f>IFERROR(VLOOKUP(C248,MigradosEfectivamente!B:B,1,FALSE),"No encontrado")</f>
        <v>No encontrado</v>
      </c>
    </row>
    <row r="249" spans="1:29" ht="45" x14ac:dyDescent="0.25">
      <c r="A249" s="3" t="s">
        <v>995</v>
      </c>
      <c r="B249" s="3" t="s">
        <v>996</v>
      </c>
      <c r="C249" s="3">
        <v>1000852100</v>
      </c>
      <c r="D249" s="3" t="s">
        <v>122</v>
      </c>
      <c r="E249" s="3">
        <v>3053933966</v>
      </c>
      <c r="F249" s="3" t="s">
        <v>997</v>
      </c>
      <c r="G249" s="3">
        <v>89</v>
      </c>
      <c r="H249" s="3" t="s">
        <v>97</v>
      </c>
      <c r="I249" s="3" t="s">
        <v>33</v>
      </c>
      <c r="J249" s="3" t="s">
        <v>34</v>
      </c>
      <c r="K249" s="3"/>
      <c r="L249" s="3"/>
      <c r="M249" s="3"/>
      <c r="N249" s="3" t="s">
        <v>35</v>
      </c>
      <c r="O249" s="3" t="s">
        <v>36</v>
      </c>
      <c r="P249" s="4">
        <v>45907.683263888888</v>
      </c>
      <c r="Q249" s="3">
        <v>7777777</v>
      </c>
      <c r="R249" s="3" t="s">
        <v>37</v>
      </c>
      <c r="S249" s="3"/>
      <c r="T249" s="3"/>
      <c r="U249" s="5" t="s">
        <v>38</v>
      </c>
      <c r="V249" s="3"/>
      <c r="W249" s="3" t="s">
        <v>39</v>
      </c>
      <c r="X249" s="3" t="s">
        <v>41</v>
      </c>
      <c r="Y249" s="3" t="s">
        <v>41</v>
      </c>
      <c r="Z249" s="3" t="s">
        <v>92</v>
      </c>
      <c r="AA249" s="3" t="s">
        <v>49</v>
      </c>
      <c r="AB249" s="3" t="s">
        <v>41</v>
      </c>
      <c r="AC249">
        <f>IFERROR(VLOOKUP(C249,MigradosEfectivamente!B:B,1,FALSE),"No encontrado")</f>
        <v>1000852100</v>
      </c>
    </row>
    <row r="250" spans="1:29" ht="45" x14ac:dyDescent="0.25">
      <c r="A250" s="3" t="s">
        <v>998</v>
      </c>
      <c r="B250" s="3" t="s">
        <v>999</v>
      </c>
      <c r="C250" s="3">
        <v>1101622437</v>
      </c>
      <c r="D250" s="3" t="s">
        <v>122</v>
      </c>
      <c r="E250" s="3">
        <v>3185494142</v>
      </c>
      <c r="F250" s="3" t="s">
        <v>141</v>
      </c>
      <c r="G250" s="3">
        <v>89</v>
      </c>
      <c r="H250" s="3" t="s">
        <v>97</v>
      </c>
      <c r="I250" s="3" t="s">
        <v>33</v>
      </c>
      <c r="J250" s="3" t="s">
        <v>34</v>
      </c>
      <c r="K250" s="3"/>
      <c r="L250" s="3"/>
      <c r="M250" s="3"/>
      <c r="N250" s="3" t="s">
        <v>35</v>
      </c>
      <c r="O250" s="3" t="s">
        <v>36</v>
      </c>
      <c r="P250" s="4">
        <v>45907.683263888888</v>
      </c>
      <c r="Q250" s="3">
        <v>7777777</v>
      </c>
      <c r="R250" s="3" t="s">
        <v>37</v>
      </c>
      <c r="S250" s="3"/>
      <c r="T250" s="3"/>
      <c r="U250" s="5" t="s">
        <v>38</v>
      </c>
      <c r="V250" s="3"/>
      <c r="W250" s="3" t="s">
        <v>39</v>
      </c>
      <c r="X250" s="3" t="s">
        <v>40</v>
      </c>
      <c r="Y250" s="3" t="s">
        <v>41</v>
      </c>
      <c r="Z250" s="3" t="s">
        <v>70</v>
      </c>
      <c r="AA250" s="3" t="s">
        <v>49</v>
      </c>
      <c r="AB250" s="3" t="s">
        <v>40</v>
      </c>
      <c r="AC250" t="str">
        <f>IFERROR(VLOOKUP(C250,MigradosEfectivamente!B:B,1,FALSE),"No encontrado")</f>
        <v>No encontrado</v>
      </c>
    </row>
    <row r="251" spans="1:29" ht="60" x14ac:dyDescent="0.25">
      <c r="A251" s="3" t="s">
        <v>1000</v>
      </c>
      <c r="B251" s="3" t="s">
        <v>1001</v>
      </c>
      <c r="C251" s="3">
        <v>1098799262</v>
      </c>
      <c r="D251" s="3" t="s">
        <v>1002</v>
      </c>
      <c r="E251" s="3">
        <v>3168234247</v>
      </c>
      <c r="F251" s="3" t="s">
        <v>1003</v>
      </c>
      <c r="G251" s="3">
        <v>89</v>
      </c>
      <c r="H251" s="3" t="s">
        <v>110</v>
      </c>
      <c r="I251" s="3" t="s">
        <v>1004</v>
      </c>
      <c r="J251" s="3" t="s">
        <v>34</v>
      </c>
      <c r="K251" s="3"/>
      <c r="L251" s="3"/>
      <c r="M251" s="3"/>
      <c r="N251" s="3" t="s">
        <v>35</v>
      </c>
      <c r="O251" s="3" t="s">
        <v>36</v>
      </c>
      <c r="P251" s="4">
        <v>45906.808263888888</v>
      </c>
      <c r="Q251" s="3">
        <v>7777777</v>
      </c>
      <c r="R251" s="3" t="s">
        <v>37</v>
      </c>
      <c r="S251" s="3"/>
      <c r="T251" s="3"/>
      <c r="U251" s="5" t="s">
        <v>38</v>
      </c>
      <c r="V251" s="3"/>
      <c r="W251" s="3" t="s">
        <v>60</v>
      </c>
      <c r="X251" s="3" t="s">
        <v>41</v>
      </c>
      <c r="Y251" s="3" t="s">
        <v>41</v>
      </c>
      <c r="Z251" s="3" t="s">
        <v>42</v>
      </c>
      <c r="AA251" s="3" t="s">
        <v>49</v>
      </c>
      <c r="AB251" s="3" t="s">
        <v>40</v>
      </c>
      <c r="AC251">
        <f>IFERROR(VLOOKUP(C251,MigradosEfectivamente!B:B,1,FALSE),"No encontrado")</f>
        <v>1098799262</v>
      </c>
    </row>
    <row r="252" spans="1:29" ht="60" x14ac:dyDescent="0.25">
      <c r="A252" s="3" t="s">
        <v>1005</v>
      </c>
      <c r="B252" s="3" t="s">
        <v>1006</v>
      </c>
      <c r="C252" s="3">
        <v>1005654761</v>
      </c>
      <c r="D252" s="3" t="s">
        <v>108</v>
      </c>
      <c r="E252" s="3" t="s">
        <v>1007</v>
      </c>
      <c r="F252" s="3" t="s">
        <v>1008</v>
      </c>
      <c r="G252" s="3">
        <v>99</v>
      </c>
      <c r="H252" s="3" t="s">
        <v>110</v>
      </c>
      <c r="I252" s="3" t="s">
        <v>82</v>
      </c>
      <c r="J252" s="3" t="s">
        <v>34</v>
      </c>
      <c r="K252" s="3"/>
      <c r="L252" s="3"/>
      <c r="M252" s="3"/>
      <c r="N252" s="3" t="s">
        <v>35</v>
      </c>
      <c r="O252" s="3" t="s">
        <v>83</v>
      </c>
      <c r="P252" s="4">
        <v>45906.808263888888</v>
      </c>
      <c r="Q252" s="3">
        <v>7777777</v>
      </c>
      <c r="R252" s="3" t="s">
        <v>37</v>
      </c>
      <c r="S252" s="3"/>
      <c r="T252" s="3"/>
      <c r="U252" s="5" t="s">
        <v>38</v>
      </c>
      <c r="V252" s="3"/>
      <c r="W252" s="3" t="s">
        <v>60</v>
      </c>
      <c r="X252" s="3" t="s">
        <v>40</v>
      </c>
      <c r="Y252" s="3" t="s">
        <v>41</v>
      </c>
      <c r="Z252" s="3" t="s">
        <v>42</v>
      </c>
      <c r="AA252" s="3" t="s">
        <v>49</v>
      </c>
      <c r="AB252" s="3" t="s">
        <v>40</v>
      </c>
      <c r="AC252" t="str">
        <f>IFERROR(VLOOKUP(C252,MigradosEfectivamente!B:B,1,FALSE),"No encontrado")</f>
        <v>No encontrado</v>
      </c>
    </row>
    <row r="253" spans="1:29" ht="60" x14ac:dyDescent="0.25">
      <c r="A253" s="3" t="s">
        <v>1009</v>
      </c>
      <c r="B253" s="3" t="s">
        <v>1010</v>
      </c>
      <c r="C253" s="3">
        <v>88231563</v>
      </c>
      <c r="D253" s="3" t="s">
        <v>1011</v>
      </c>
      <c r="E253" s="3">
        <v>3153516194</v>
      </c>
      <c r="F253" s="3" t="s">
        <v>1012</v>
      </c>
      <c r="G253" s="3">
        <v>89</v>
      </c>
      <c r="H253" s="3" t="s">
        <v>136</v>
      </c>
      <c r="I253" s="3" t="s">
        <v>33</v>
      </c>
      <c r="J253" s="3" t="s">
        <v>34</v>
      </c>
      <c r="K253" s="3"/>
      <c r="L253" s="3"/>
      <c r="M253" s="3"/>
      <c r="N253" s="3" t="s">
        <v>35</v>
      </c>
      <c r="O253" s="3" t="s">
        <v>36</v>
      </c>
      <c r="P253" s="4">
        <v>45906.808263888888</v>
      </c>
      <c r="Q253" s="3">
        <v>7777777</v>
      </c>
      <c r="R253" s="3" t="s">
        <v>37</v>
      </c>
      <c r="S253" s="3"/>
      <c r="T253" s="3"/>
      <c r="U253" s="5" t="s">
        <v>38</v>
      </c>
      <c r="V253" s="3"/>
      <c r="W253" s="3" t="s">
        <v>60</v>
      </c>
      <c r="X253" s="3" t="s">
        <v>40</v>
      </c>
      <c r="Y253" s="3" t="s">
        <v>40</v>
      </c>
      <c r="Z253" s="3" t="s">
        <v>42</v>
      </c>
      <c r="AA253" s="3" t="s">
        <v>49</v>
      </c>
      <c r="AB253" s="3" t="s">
        <v>40</v>
      </c>
      <c r="AC253" t="str">
        <f>IFERROR(VLOOKUP(C253,MigradosEfectivamente!B:B,1,FALSE),"No encontrado")</f>
        <v>No encontrado</v>
      </c>
    </row>
    <row r="254" spans="1:29" ht="45" x14ac:dyDescent="0.25">
      <c r="A254" s="3" t="s">
        <v>1013</v>
      </c>
      <c r="B254" s="3" t="s">
        <v>1014</v>
      </c>
      <c r="C254" s="3">
        <v>1098703060</v>
      </c>
      <c r="D254" s="3" t="s">
        <v>1015</v>
      </c>
      <c r="E254" s="3">
        <v>3156371623</v>
      </c>
      <c r="F254" s="3" t="s">
        <v>1016</v>
      </c>
      <c r="G254" s="3">
        <v>89</v>
      </c>
      <c r="H254" s="3" t="s">
        <v>48</v>
      </c>
      <c r="I254" s="3" t="s">
        <v>33</v>
      </c>
      <c r="J254" s="3" t="s">
        <v>34</v>
      </c>
      <c r="K254" s="3"/>
      <c r="L254" s="3"/>
      <c r="M254" s="3"/>
      <c r="N254" s="3" t="s">
        <v>35</v>
      </c>
      <c r="O254" s="3" t="s">
        <v>36</v>
      </c>
      <c r="P254" s="4">
        <v>45905.64739583333</v>
      </c>
      <c r="Q254" s="3">
        <v>7777777</v>
      </c>
      <c r="R254" s="3" t="s">
        <v>37</v>
      </c>
      <c r="S254" s="3"/>
      <c r="T254" s="3"/>
      <c r="U254" s="5" t="s">
        <v>38</v>
      </c>
      <c r="V254" s="3"/>
      <c r="W254" s="3" t="s">
        <v>39</v>
      </c>
      <c r="X254" s="3" t="s">
        <v>40</v>
      </c>
      <c r="Y254" s="3" t="s">
        <v>41</v>
      </c>
      <c r="Z254" s="3" t="s">
        <v>92</v>
      </c>
      <c r="AA254" s="3" t="s">
        <v>49</v>
      </c>
      <c r="AB254" s="3" t="s">
        <v>41</v>
      </c>
      <c r="AC254" t="str">
        <f>IFERROR(VLOOKUP(C254,MigradosEfectivamente!B:B,1,FALSE),"No encontrado")</f>
        <v>No encontrado</v>
      </c>
    </row>
    <row r="255" spans="1:29" ht="60" x14ac:dyDescent="0.25">
      <c r="A255" s="3" t="s">
        <v>1017</v>
      </c>
      <c r="B255" s="3" t="s">
        <v>1018</v>
      </c>
      <c r="C255" s="3">
        <v>1090398084</v>
      </c>
      <c r="D255" s="3" t="s">
        <v>1019</v>
      </c>
      <c r="E255" s="3">
        <v>3118430178</v>
      </c>
      <c r="F255" s="3" t="s">
        <v>1020</v>
      </c>
      <c r="G255" s="3">
        <v>89</v>
      </c>
      <c r="H255" s="3" t="s">
        <v>69</v>
      </c>
      <c r="I255" s="3" t="s">
        <v>33</v>
      </c>
      <c r="J255" s="3" t="s">
        <v>34</v>
      </c>
      <c r="K255" s="3"/>
      <c r="L255" s="3"/>
      <c r="M255" s="3"/>
      <c r="N255" s="3" t="s">
        <v>35</v>
      </c>
      <c r="O255" s="3" t="s">
        <v>36</v>
      </c>
      <c r="P255" s="4">
        <v>45905.64739583333</v>
      </c>
      <c r="Q255" s="3">
        <v>7777777</v>
      </c>
      <c r="R255" s="3" t="s">
        <v>37</v>
      </c>
      <c r="S255" s="3"/>
      <c r="T255" s="3"/>
      <c r="U255" s="5" t="s">
        <v>38</v>
      </c>
      <c r="V255" s="3"/>
      <c r="W255" s="3" t="s">
        <v>60</v>
      </c>
      <c r="X255" s="3" t="s">
        <v>41</v>
      </c>
      <c r="Y255" s="3" t="s">
        <v>41</v>
      </c>
      <c r="Z255" s="3" t="s">
        <v>42</v>
      </c>
      <c r="AA255" s="3" t="s">
        <v>49</v>
      </c>
      <c r="AB255" s="3" t="s">
        <v>40</v>
      </c>
      <c r="AC255">
        <f>IFERROR(VLOOKUP(C255,MigradosEfectivamente!B:B,1,FALSE),"No encontrado")</f>
        <v>1090398084</v>
      </c>
    </row>
    <row r="256" spans="1:29" ht="60" x14ac:dyDescent="0.25">
      <c r="A256" s="3">
        <v>23077</v>
      </c>
      <c r="B256" s="3" t="s">
        <v>1021</v>
      </c>
      <c r="C256" s="3">
        <v>1098824017</v>
      </c>
      <c r="D256" s="3" t="s">
        <v>57</v>
      </c>
      <c r="E256" s="3">
        <v>3012395123</v>
      </c>
      <c r="F256" s="3" t="s">
        <v>1022</v>
      </c>
      <c r="G256" s="3">
        <v>89</v>
      </c>
      <c r="H256" s="3" t="s">
        <v>269</v>
      </c>
      <c r="I256" s="3" t="s">
        <v>33</v>
      </c>
      <c r="J256" s="3" t="s">
        <v>34</v>
      </c>
      <c r="K256" s="3"/>
      <c r="L256" s="3"/>
      <c r="M256" s="3"/>
      <c r="N256" s="3" t="s">
        <v>35</v>
      </c>
      <c r="O256" s="3" t="s">
        <v>36</v>
      </c>
      <c r="P256" s="4">
        <v>45905.64739583333</v>
      </c>
      <c r="Q256" s="3">
        <v>7777777</v>
      </c>
      <c r="R256" s="3" t="s">
        <v>37</v>
      </c>
      <c r="S256" s="3"/>
      <c r="T256" s="3"/>
      <c r="U256" s="5" t="s">
        <v>38</v>
      </c>
      <c r="V256" s="3"/>
      <c r="W256" s="3" t="s">
        <v>60</v>
      </c>
      <c r="X256" s="3" t="s">
        <v>41</v>
      </c>
      <c r="Y256" s="3" t="s">
        <v>41</v>
      </c>
      <c r="Z256" s="3" t="s">
        <v>42</v>
      </c>
      <c r="AA256" s="3" t="s">
        <v>49</v>
      </c>
      <c r="AB256" s="3" t="s">
        <v>40</v>
      </c>
      <c r="AC256" t="str">
        <f>IFERROR(VLOOKUP(C256,MigradosEfectivamente!B:B,1,FALSE),"No encontrado")</f>
        <v>No encontrado</v>
      </c>
    </row>
    <row r="257" spans="1:29" ht="60" x14ac:dyDescent="0.25">
      <c r="A257" s="3" t="s">
        <v>1023</v>
      </c>
      <c r="B257" s="3" t="s">
        <v>1024</v>
      </c>
      <c r="C257" s="3">
        <v>1095794274</v>
      </c>
      <c r="D257" s="3" t="s">
        <v>46</v>
      </c>
      <c r="E257" s="3">
        <v>3152220182</v>
      </c>
      <c r="F257" s="3" t="s">
        <v>1025</v>
      </c>
      <c r="G257" s="3">
        <v>89</v>
      </c>
      <c r="H257" s="3" t="s">
        <v>48</v>
      </c>
      <c r="I257" s="3" t="s">
        <v>33</v>
      </c>
      <c r="J257" s="3" t="s">
        <v>34</v>
      </c>
      <c r="K257" s="3"/>
      <c r="L257" s="3"/>
      <c r="M257" s="3"/>
      <c r="N257" s="3" t="s">
        <v>35</v>
      </c>
      <c r="O257" s="3" t="s">
        <v>36</v>
      </c>
      <c r="P257" s="4">
        <v>45905.64739583333</v>
      </c>
      <c r="Q257" s="3">
        <v>7777777</v>
      </c>
      <c r="R257" s="3" t="s">
        <v>37</v>
      </c>
      <c r="S257" s="3"/>
      <c r="T257" s="3"/>
      <c r="U257" s="5" t="s">
        <v>38</v>
      </c>
      <c r="V257" s="3"/>
      <c r="W257" s="3" t="s">
        <v>60</v>
      </c>
      <c r="X257" s="3" t="s">
        <v>40</v>
      </c>
      <c r="Y257" s="3" t="s">
        <v>41</v>
      </c>
      <c r="Z257" s="3" t="s">
        <v>42</v>
      </c>
      <c r="AA257" s="3" t="s">
        <v>49</v>
      </c>
      <c r="AB257" s="3" t="s">
        <v>40</v>
      </c>
      <c r="AC257" t="str">
        <f>IFERROR(VLOOKUP(C257,MigradosEfectivamente!B:B,1,FALSE),"No encontrado")</f>
        <v>No encontrado</v>
      </c>
    </row>
    <row r="258" spans="1:29" ht="60" x14ac:dyDescent="0.25">
      <c r="A258" s="3" t="s">
        <v>1026</v>
      </c>
      <c r="B258" s="3" t="s">
        <v>1027</v>
      </c>
      <c r="C258" s="3">
        <v>1098727368</v>
      </c>
      <c r="D258" s="3" t="s">
        <v>1028</v>
      </c>
      <c r="E258" s="3">
        <v>3236872157</v>
      </c>
      <c r="F258" s="3" t="s">
        <v>1029</v>
      </c>
      <c r="G258" s="3">
        <v>99</v>
      </c>
      <c r="H258" s="3" t="s">
        <v>110</v>
      </c>
      <c r="I258" s="3" t="s">
        <v>82</v>
      </c>
      <c r="J258" s="3" t="s">
        <v>34</v>
      </c>
      <c r="K258" s="3"/>
      <c r="L258" s="3"/>
      <c r="M258" s="3"/>
      <c r="N258" s="3" t="s">
        <v>35</v>
      </c>
      <c r="O258" s="3" t="s">
        <v>83</v>
      </c>
      <c r="P258" s="4">
        <v>45905.64739583333</v>
      </c>
      <c r="Q258" s="3">
        <v>7777777</v>
      </c>
      <c r="R258" s="3" t="s">
        <v>37</v>
      </c>
      <c r="S258" s="3"/>
      <c r="T258" s="3"/>
      <c r="U258" s="5" t="s">
        <v>38</v>
      </c>
      <c r="V258" s="3"/>
      <c r="W258" s="3" t="s">
        <v>60</v>
      </c>
      <c r="X258" s="3" t="s">
        <v>40</v>
      </c>
      <c r="Y258" s="3" t="s">
        <v>41</v>
      </c>
      <c r="Z258" s="3" t="s">
        <v>42</v>
      </c>
      <c r="AA258" s="3" t="s">
        <v>49</v>
      </c>
      <c r="AB258" s="3" t="s">
        <v>40</v>
      </c>
      <c r="AC258" t="str">
        <f>IFERROR(VLOOKUP(C258,MigradosEfectivamente!B:B,1,FALSE),"No encontrado")</f>
        <v>No encontrado</v>
      </c>
    </row>
    <row r="259" spans="1:29" ht="60" x14ac:dyDescent="0.25">
      <c r="A259" s="3" t="s">
        <v>1030</v>
      </c>
      <c r="B259" s="3" t="s">
        <v>1031</v>
      </c>
      <c r="C259" s="3">
        <v>1010842283</v>
      </c>
      <c r="D259" s="3" t="s">
        <v>1032</v>
      </c>
      <c r="E259" s="3">
        <v>3223110942</v>
      </c>
      <c r="F259" s="3" t="s">
        <v>1033</v>
      </c>
      <c r="G259" s="3">
        <v>89</v>
      </c>
      <c r="H259" s="3" t="s">
        <v>136</v>
      </c>
      <c r="I259" s="3" t="s">
        <v>82</v>
      </c>
      <c r="J259" s="3" t="s">
        <v>34</v>
      </c>
      <c r="K259" s="3"/>
      <c r="L259" s="3"/>
      <c r="M259" s="3"/>
      <c r="N259" s="3" t="s">
        <v>35</v>
      </c>
      <c r="O259" s="3" t="s">
        <v>36</v>
      </c>
      <c r="P259" s="4">
        <v>45905.64739583333</v>
      </c>
      <c r="Q259" s="3">
        <v>7777777</v>
      </c>
      <c r="R259" s="3" t="s">
        <v>37</v>
      </c>
      <c r="S259" s="3"/>
      <c r="T259" s="3"/>
      <c r="U259" s="5" t="s">
        <v>38</v>
      </c>
      <c r="V259" s="3"/>
      <c r="W259" s="3" t="s">
        <v>60</v>
      </c>
      <c r="X259" s="3" t="s">
        <v>41</v>
      </c>
      <c r="Y259" s="3" t="s">
        <v>41</v>
      </c>
      <c r="Z259" s="3" t="s">
        <v>42</v>
      </c>
      <c r="AA259" s="3" t="s">
        <v>49</v>
      </c>
      <c r="AB259" s="3" t="s">
        <v>40</v>
      </c>
      <c r="AC259">
        <f>IFERROR(VLOOKUP(C259,MigradosEfectivamente!B:B,1,FALSE),"No encontrado")</f>
        <v>1010842283</v>
      </c>
    </row>
    <row r="260" spans="1:29" ht="45" x14ac:dyDescent="0.25">
      <c r="A260" s="3" t="s">
        <v>1034</v>
      </c>
      <c r="B260" s="3" t="s">
        <v>1035</v>
      </c>
      <c r="C260" s="3">
        <v>1065138955</v>
      </c>
      <c r="D260" s="3" t="s">
        <v>1036</v>
      </c>
      <c r="E260" s="3">
        <v>3022929761</v>
      </c>
      <c r="F260" s="3" t="s">
        <v>1037</v>
      </c>
      <c r="G260" s="3">
        <v>89</v>
      </c>
      <c r="H260" s="3" t="s">
        <v>180</v>
      </c>
      <c r="I260" s="3" t="s">
        <v>33</v>
      </c>
      <c r="J260" s="3" t="s">
        <v>34</v>
      </c>
      <c r="K260" s="3"/>
      <c r="L260" s="3"/>
      <c r="M260" s="3"/>
      <c r="N260" s="3" t="s">
        <v>35</v>
      </c>
      <c r="O260" s="3" t="s">
        <v>36</v>
      </c>
      <c r="P260" s="4">
        <v>45905.64739583333</v>
      </c>
      <c r="Q260" s="3">
        <v>7777777</v>
      </c>
      <c r="R260" s="3" t="s">
        <v>37</v>
      </c>
      <c r="S260" s="3"/>
      <c r="T260" s="3"/>
      <c r="U260" s="5" t="s">
        <v>38</v>
      </c>
      <c r="V260" s="3"/>
      <c r="W260" s="3" t="s">
        <v>39</v>
      </c>
      <c r="X260" s="3" t="s">
        <v>41</v>
      </c>
      <c r="Y260" s="3" t="s">
        <v>41</v>
      </c>
      <c r="Z260" s="3" t="s">
        <v>42</v>
      </c>
      <c r="AA260" s="3" t="s">
        <v>49</v>
      </c>
      <c r="AB260" s="3" t="s">
        <v>40</v>
      </c>
      <c r="AC260">
        <f>IFERROR(VLOOKUP(C260,MigradosEfectivamente!B:B,1,FALSE),"No encontrado")</f>
        <v>1065138955</v>
      </c>
    </row>
    <row r="261" spans="1:29" ht="60" x14ac:dyDescent="0.25">
      <c r="A261" s="3" t="s">
        <v>1038</v>
      </c>
      <c r="B261" s="3" t="s">
        <v>1039</v>
      </c>
      <c r="C261" s="3">
        <v>1007193646</v>
      </c>
      <c r="D261" s="3" t="s">
        <v>169</v>
      </c>
      <c r="E261" s="3">
        <v>3178177443</v>
      </c>
      <c r="F261" s="3" t="s">
        <v>1040</v>
      </c>
      <c r="G261" s="3">
        <v>89</v>
      </c>
      <c r="H261" s="3" t="s">
        <v>97</v>
      </c>
      <c r="I261" s="3" t="s">
        <v>33</v>
      </c>
      <c r="J261" s="3" t="s">
        <v>34</v>
      </c>
      <c r="K261" s="3"/>
      <c r="L261" s="3"/>
      <c r="M261" s="3"/>
      <c r="N261" s="3" t="s">
        <v>35</v>
      </c>
      <c r="O261" s="3" t="s">
        <v>36</v>
      </c>
      <c r="P261" s="4">
        <v>45905.64739583333</v>
      </c>
      <c r="Q261" s="3">
        <v>7777777</v>
      </c>
      <c r="R261" s="3" t="s">
        <v>37</v>
      </c>
      <c r="S261" s="3"/>
      <c r="T261" s="3"/>
      <c r="U261" s="5" t="s">
        <v>38</v>
      </c>
      <c r="V261" s="3"/>
      <c r="W261" s="3" t="s">
        <v>60</v>
      </c>
      <c r="X261" s="3" t="s">
        <v>40</v>
      </c>
      <c r="Y261" s="3" t="s">
        <v>41</v>
      </c>
      <c r="Z261" s="3" t="s">
        <v>42</v>
      </c>
      <c r="AA261" s="3" t="s">
        <v>49</v>
      </c>
      <c r="AB261" s="3" t="s">
        <v>40</v>
      </c>
      <c r="AC261" t="str">
        <f>IFERROR(VLOOKUP(C261,MigradosEfectivamente!B:B,1,FALSE),"No encontrado")</f>
        <v>No encontrado</v>
      </c>
    </row>
    <row r="262" spans="1:29" ht="45" x14ac:dyDescent="0.25">
      <c r="A262" s="3" t="s">
        <v>1041</v>
      </c>
      <c r="B262" s="3" t="s">
        <v>1042</v>
      </c>
      <c r="C262" s="3">
        <v>1127047882</v>
      </c>
      <c r="D262" s="3" t="s">
        <v>288</v>
      </c>
      <c r="E262" s="3">
        <v>3005297655</v>
      </c>
      <c r="F262" s="3" t="s">
        <v>141</v>
      </c>
      <c r="G262" s="3">
        <v>89</v>
      </c>
      <c r="H262" s="3" t="s">
        <v>69</v>
      </c>
      <c r="I262" s="3" t="s">
        <v>33</v>
      </c>
      <c r="J262" s="3" t="s">
        <v>34</v>
      </c>
      <c r="K262" s="3"/>
      <c r="L262" s="3"/>
      <c r="M262" s="3"/>
      <c r="N262" s="3" t="s">
        <v>35</v>
      </c>
      <c r="O262" s="3" t="s">
        <v>36</v>
      </c>
      <c r="P262" s="4">
        <v>45905.64739583333</v>
      </c>
      <c r="Q262" s="3">
        <v>7777777</v>
      </c>
      <c r="R262" s="3" t="s">
        <v>37</v>
      </c>
      <c r="S262" s="3"/>
      <c r="T262" s="3"/>
      <c r="U262" s="5" t="s">
        <v>38</v>
      </c>
      <c r="V262" s="3"/>
      <c r="W262" s="3" t="s">
        <v>39</v>
      </c>
      <c r="X262" s="3" t="s">
        <v>41</v>
      </c>
      <c r="Y262" s="3" t="s">
        <v>41</v>
      </c>
      <c r="Z262" s="3" t="s">
        <v>70</v>
      </c>
      <c r="AA262" s="3" t="s">
        <v>49</v>
      </c>
      <c r="AB262" s="3" t="s">
        <v>41</v>
      </c>
      <c r="AC262">
        <f>IFERROR(VLOOKUP(C262,MigradosEfectivamente!B:B,1,FALSE),"No encontrado")</f>
        <v>1127047882</v>
      </c>
    </row>
    <row r="263" spans="1:29" ht="45" x14ac:dyDescent="0.25">
      <c r="A263" s="3" t="s">
        <v>1043</v>
      </c>
      <c r="B263" s="3" t="s">
        <v>1044</v>
      </c>
      <c r="C263" s="3">
        <v>1096236526</v>
      </c>
      <c r="D263" s="3" t="s">
        <v>57</v>
      </c>
      <c r="E263" s="3">
        <v>3229167655</v>
      </c>
      <c r="F263" s="3" t="s">
        <v>1045</v>
      </c>
      <c r="G263" s="3">
        <v>89</v>
      </c>
      <c r="H263" s="3" t="s">
        <v>59</v>
      </c>
      <c r="I263" s="3" t="s">
        <v>33</v>
      </c>
      <c r="J263" s="3" t="s">
        <v>34</v>
      </c>
      <c r="K263" s="3"/>
      <c r="L263" s="3"/>
      <c r="M263" s="3"/>
      <c r="N263" s="3" t="s">
        <v>35</v>
      </c>
      <c r="O263" s="3" t="s">
        <v>36</v>
      </c>
      <c r="P263" s="4">
        <v>45905.64739583333</v>
      </c>
      <c r="Q263" s="3">
        <v>7777777</v>
      </c>
      <c r="R263" s="3" t="s">
        <v>37</v>
      </c>
      <c r="S263" s="3"/>
      <c r="T263" s="3"/>
      <c r="U263" s="5" t="s">
        <v>38</v>
      </c>
      <c r="V263" s="3"/>
      <c r="W263" s="3" t="s">
        <v>39</v>
      </c>
      <c r="X263" s="3" t="s">
        <v>40</v>
      </c>
      <c r="Y263" s="3" t="s">
        <v>41</v>
      </c>
      <c r="Z263" s="3" t="s">
        <v>70</v>
      </c>
      <c r="AA263" s="3" t="s">
        <v>49</v>
      </c>
      <c r="AB263" s="3" t="s">
        <v>40</v>
      </c>
      <c r="AC263" t="str">
        <f>IFERROR(VLOOKUP(C263,MigradosEfectivamente!B:B,1,FALSE),"No encontrado")</f>
        <v>No encontrado</v>
      </c>
    </row>
    <row r="264" spans="1:29" ht="45" x14ac:dyDescent="0.25">
      <c r="A264" s="3" t="s">
        <v>1046</v>
      </c>
      <c r="B264" s="3" t="s">
        <v>1047</v>
      </c>
      <c r="C264" s="3">
        <v>1094049180</v>
      </c>
      <c r="D264" s="3" t="s">
        <v>1048</v>
      </c>
      <c r="E264" s="3">
        <v>3208652489</v>
      </c>
      <c r="F264" s="3" t="s">
        <v>234</v>
      </c>
      <c r="G264" s="3">
        <v>89</v>
      </c>
      <c r="H264" s="3" t="s">
        <v>136</v>
      </c>
      <c r="I264" s="3" t="s">
        <v>33</v>
      </c>
      <c r="J264" s="3" t="s">
        <v>34</v>
      </c>
      <c r="K264" s="3"/>
      <c r="L264" s="3"/>
      <c r="M264" s="3"/>
      <c r="N264" s="3" t="s">
        <v>35</v>
      </c>
      <c r="O264" s="3" t="s">
        <v>36</v>
      </c>
      <c r="P264" s="4">
        <v>45904.730729166666</v>
      </c>
      <c r="Q264" s="3">
        <v>7777777</v>
      </c>
      <c r="R264" s="3" t="s">
        <v>37</v>
      </c>
      <c r="S264" s="3"/>
      <c r="T264" s="3"/>
      <c r="U264" s="5" t="s">
        <v>38</v>
      </c>
      <c r="V264" s="3"/>
      <c r="W264" s="3" t="s">
        <v>39</v>
      </c>
      <c r="X264" s="3" t="s">
        <v>41</v>
      </c>
      <c r="Y264" s="3" t="s">
        <v>41</v>
      </c>
      <c r="Z264" s="3" t="s">
        <v>70</v>
      </c>
      <c r="AA264" s="3" t="s">
        <v>49</v>
      </c>
      <c r="AB264" s="3" t="s">
        <v>40</v>
      </c>
      <c r="AC264" t="str">
        <f>IFERROR(VLOOKUP(C264,MigradosEfectivamente!B:B,1,FALSE),"No encontrado")</f>
        <v>No encontrado</v>
      </c>
    </row>
    <row r="265" spans="1:29" ht="60" x14ac:dyDescent="0.25">
      <c r="A265" s="3" t="s">
        <v>1049</v>
      </c>
      <c r="B265" s="3" t="s">
        <v>1050</v>
      </c>
      <c r="C265" s="3">
        <v>1142714045</v>
      </c>
      <c r="D265" s="3" t="s">
        <v>1051</v>
      </c>
      <c r="E265" s="3">
        <v>3011549937</v>
      </c>
      <c r="F265" s="3" t="s">
        <v>1052</v>
      </c>
      <c r="G265" s="3">
        <v>89</v>
      </c>
      <c r="H265" s="3" t="s">
        <v>54</v>
      </c>
      <c r="I265" s="3" t="s">
        <v>33</v>
      </c>
      <c r="J265" s="3" t="s">
        <v>34</v>
      </c>
      <c r="K265" s="3"/>
      <c r="L265" s="3"/>
      <c r="M265" s="3"/>
      <c r="N265" s="3" t="s">
        <v>35</v>
      </c>
      <c r="O265" s="3" t="s">
        <v>36</v>
      </c>
      <c r="P265" s="4">
        <v>45904.730729166666</v>
      </c>
      <c r="Q265" s="3">
        <v>7777777</v>
      </c>
      <c r="R265" s="3" t="s">
        <v>37</v>
      </c>
      <c r="S265" s="3"/>
      <c r="T265" s="3"/>
      <c r="U265" s="5" t="s">
        <v>38</v>
      </c>
      <c r="V265" s="3"/>
      <c r="W265" s="3" t="s">
        <v>60</v>
      </c>
      <c r="X265" s="3" t="s">
        <v>40</v>
      </c>
      <c r="Y265" s="3" t="s">
        <v>41</v>
      </c>
      <c r="Z265" s="3" t="s">
        <v>42</v>
      </c>
      <c r="AA265" s="3" t="s">
        <v>49</v>
      </c>
      <c r="AB265" s="3" t="s">
        <v>40</v>
      </c>
      <c r="AC265" t="str">
        <f>IFERROR(VLOOKUP(C265,MigradosEfectivamente!B:B,1,FALSE),"No encontrado")</f>
        <v>No encontrado</v>
      </c>
    </row>
    <row r="266" spans="1:29" ht="45" x14ac:dyDescent="0.25">
      <c r="A266" s="3" t="s">
        <v>1053</v>
      </c>
      <c r="B266" s="3" t="s">
        <v>1054</v>
      </c>
      <c r="C266" s="3">
        <v>1098702840</v>
      </c>
      <c r="D266" s="3" t="s">
        <v>108</v>
      </c>
      <c r="E266" s="3">
        <v>3127037390</v>
      </c>
      <c r="F266" s="3" t="s">
        <v>1055</v>
      </c>
      <c r="G266" s="3">
        <v>89</v>
      </c>
      <c r="H266" s="3" t="s">
        <v>97</v>
      </c>
      <c r="I266" s="3" t="s">
        <v>33</v>
      </c>
      <c r="J266" s="3" t="s">
        <v>34</v>
      </c>
      <c r="K266" s="3"/>
      <c r="L266" s="3"/>
      <c r="M266" s="3"/>
      <c r="N266" s="3" t="s">
        <v>35</v>
      </c>
      <c r="O266" s="3" t="s">
        <v>36</v>
      </c>
      <c r="P266" s="4">
        <v>45904.730729166666</v>
      </c>
      <c r="Q266" s="3">
        <v>7777777</v>
      </c>
      <c r="R266" s="3" t="s">
        <v>37</v>
      </c>
      <c r="S266" s="3"/>
      <c r="T266" s="3"/>
      <c r="U266" s="5" t="s">
        <v>38</v>
      </c>
      <c r="V266" s="3"/>
      <c r="W266" s="3" t="s">
        <v>39</v>
      </c>
      <c r="X266" s="3" t="s">
        <v>41</v>
      </c>
      <c r="Y266" s="3" t="s">
        <v>41</v>
      </c>
      <c r="Z266" s="3" t="s">
        <v>42</v>
      </c>
      <c r="AA266" s="3" t="s">
        <v>49</v>
      </c>
      <c r="AB266" s="3" t="s">
        <v>40</v>
      </c>
      <c r="AC266" t="str">
        <f>IFERROR(VLOOKUP(C266,MigradosEfectivamente!B:B,1,FALSE),"No encontrado")</f>
        <v>No encontrado</v>
      </c>
    </row>
    <row r="267" spans="1:29" ht="60" x14ac:dyDescent="0.25">
      <c r="A267" s="3" t="s">
        <v>1056</v>
      </c>
      <c r="B267" s="3" t="s">
        <v>1057</v>
      </c>
      <c r="C267" s="3">
        <v>1005066160</v>
      </c>
      <c r="D267" s="3" t="s">
        <v>1058</v>
      </c>
      <c r="E267" s="3" t="s">
        <v>1059</v>
      </c>
      <c r="F267" s="3" t="s">
        <v>1060</v>
      </c>
      <c r="G267" s="3">
        <v>99</v>
      </c>
      <c r="H267" s="3" t="s">
        <v>69</v>
      </c>
      <c r="I267" s="3" t="s">
        <v>82</v>
      </c>
      <c r="J267" s="3" t="s">
        <v>34</v>
      </c>
      <c r="K267" s="3"/>
      <c r="L267" s="3"/>
      <c r="M267" s="3"/>
      <c r="N267" s="3" t="s">
        <v>35</v>
      </c>
      <c r="O267" s="3" t="s">
        <v>83</v>
      </c>
      <c r="P267" s="4">
        <v>45904.730729166666</v>
      </c>
      <c r="Q267" s="3">
        <v>7777777</v>
      </c>
      <c r="R267" s="3" t="s">
        <v>37</v>
      </c>
      <c r="S267" s="3"/>
      <c r="T267" s="3"/>
      <c r="U267" s="5" t="s">
        <v>38</v>
      </c>
      <c r="V267" s="3"/>
      <c r="W267" s="3" t="s">
        <v>60</v>
      </c>
      <c r="X267" s="3" t="s">
        <v>41</v>
      </c>
      <c r="Y267" s="3" t="s">
        <v>41</v>
      </c>
      <c r="Z267" s="3" t="s">
        <v>42</v>
      </c>
      <c r="AA267" s="3" t="s">
        <v>49</v>
      </c>
      <c r="AB267" s="3" t="s">
        <v>40</v>
      </c>
      <c r="AC267">
        <f>IFERROR(VLOOKUP(C267,MigradosEfectivamente!B:B,1,FALSE),"No encontrado")</f>
        <v>1005066160</v>
      </c>
    </row>
    <row r="268" spans="1:29" ht="45" x14ac:dyDescent="0.25">
      <c r="A268" s="3" t="s">
        <v>1061</v>
      </c>
      <c r="B268" s="3" t="s">
        <v>1062</v>
      </c>
      <c r="C268" s="3">
        <v>1093432654</v>
      </c>
      <c r="D268" s="3" t="s">
        <v>233</v>
      </c>
      <c r="E268" s="3">
        <v>3224587533</v>
      </c>
      <c r="F268" s="3" t="s">
        <v>234</v>
      </c>
      <c r="G268" s="3">
        <v>89</v>
      </c>
      <c r="H268" s="3" t="s">
        <v>136</v>
      </c>
      <c r="I268" s="3" t="s">
        <v>33</v>
      </c>
      <c r="J268" s="3" t="s">
        <v>34</v>
      </c>
      <c r="K268" s="3"/>
      <c r="L268" s="3"/>
      <c r="M268" s="3"/>
      <c r="N268" s="3" t="s">
        <v>35</v>
      </c>
      <c r="O268" s="3" t="s">
        <v>36</v>
      </c>
      <c r="P268" s="4">
        <v>45904.730729166666</v>
      </c>
      <c r="Q268" s="3">
        <v>7777777</v>
      </c>
      <c r="R268" s="3" t="s">
        <v>37</v>
      </c>
      <c r="S268" s="3"/>
      <c r="T268" s="3"/>
      <c r="U268" s="5" t="s">
        <v>38</v>
      </c>
      <c r="V268" s="3"/>
      <c r="W268" s="3" t="s">
        <v>39</v>
      </c>
      <c r="X268" s="3" t="s">
        <v>40</v>
      </c>
      <c r="Y268" s="3" t="s">
        <v>41</v>
      </c>
      <c r="Z268" s="3" t="s">
        <v>70</v>
      </c>
      <c r="AA268" s="3" t="s">
        <v>49</v>
      </c>
      <c r="AB268" s="3" t="s">
        <v>41</v>
      </c>
      <c r="AC268" t="str">
        <f>IFERROR(VLOOKUP(C268,MigradosEfectivamente!B:B,1,FALSE),"No encontrado")</f>
        <v>No encontrado</v>
      </c>
    </row>
    <row r="269" spans="1:29" ht="45" x14ac:dyDescent="0.25">
      <c r="A269" s="3" t="s">
        <v>1063</v>
      </c>
      <c r="B269" s="3" t="s">
        <v>1064</v>
      </c>
      <c r="C269" s="3">
        <v>1093433108</v>
      </c>
      <c r="D269" s="3" t="s">
        <v>233</v>
      </c>
      <c r="E269" s="3">
        <v>3138353079</v>
      </c>
      <c r="F269" s="3" t="s">
        <v>234</v>
      </c>
      <c r="G269" s="3">
        <v>89</v>
      </c>
      <c r="H269" s="3" t="s">
        <v>69</v>
      </c>
      <c r="I269" s="3" t="s">
        <v>33</v>
      </c>
      <c r="J269" s="3" t="s">
        <v>34</v>
      </c>
      <c r="K269" s="3"/>
      <c r="L269" s="3"/>
      <c r="M269" s="3"/>
      <c r="N269" s="3" t="s">
        <v>35</v>
      </c>
      <c r="O269" s="3" t="s">
        <v>36</v>
      </c>
      <c r="P269" s="4">
        <v>45904.730729166666</v>
      </c>
      <c r="Q269" s="3">
        <v>7777777</v>
      </c>
      <c r="R269" s="3" t="s">
        <v>37</v>
      </c>
      <c r="S269" s="3"/>
      <c r="T269" s="3"/>
      <c r="U269" s="5" t="s">
        <v>38</v>
      </c>
      <c r="V269" s="3"/>
      <c r="W269" s="3" t="s">
        <v>39</v>
      </c>
      <c r="X269" s="3" t="s">
        <v>40</v>
      </c>
      <c r="Y269" s="3" t="s">
        <v>41</v>
      </c>
      <c r="Z269" s="3" t="s">
        <v>92</v>
      </c>
      <c r="AA269" s="3" t="s">
        <v>49</v>
      </c>
      <c r="AB269" s="3" t="s">
        <v>41</v>
      </c>
      <c r="AC269" t="str">
        <f>IFERROR(VLOOKUP(C269,MigradosEfectivamente!B:B,1,FALSE),"No encontrado")</f>
        <v>No encontrado</v>
      </c>
    </row>
    <row r="270" spans="1:29" ht="60" x14ac:dyDescent="0.25">
      <c r="A270" s="3" t="s">
        <v>1065</v>
      </c>
      <c r="B270" s="3" t="s">
        <v>1066</v>
      </c>
      <c r="C270" s="3">
        <v>1095840585</v>
      </c>
      <c r="D270" s="3" t="s">
        <v>1067</v>
      </c>
      <c r="E270" s="3">
        <v>3152155142</v>
      </c>
      <c r="F270" s="3" t="s">
        <v>1068</v>
      </c>
      <c r="G270" s="3">
        <v>99</v>
      </c>
      <c r="H270" s="3" t="s">
        <v>180</v>
      </c>
      <c r="I270" s="3" t="s">
        <v>82</v>
      </c>
      <c r="J270" s="3" t="s">
        <v>34</v>
      </c>
      <c r="K270" s="3"/>
      <c r="L270" s="3"/>
      <c r="M270" s="3"/>
      <c r="N270" s="3" t="s">
        <v>35</v>
      </c>
      <c r="O270" s="3" t="s">
        <v>83</v>
      </c>
      <c r="P270" s="4">
        <v>45904.730729166666</v>
      </c>
      <c r="Q270" s="3">
        <v>7777777</v>
      </c>
      <c r="R270" s="3" t="s">
        <v>37</v>
      </c>
      <c r="S270" s="3"/>
      <c r="T270" s="3"/>
      <c r="U270" s="5" t="s">
        <v>38</v>
      </c>
      <c r="V270" s="3"/>
      <c r="W270" s="3" t="s">
        <v>60</v>
      </c>
      <c r="X270" s="3" t="s">
        <v>40</v>
      </c>
      <c r="Y270" s="3" t="s">
        <v>41</v>
      </c>
      <c r="Z270" s="3" t="s">
        <v>42</v>
      </c>
      <c r="AA270" s="3" t="s">
        <v>49</v>
      </c>
      <c r="AB270" s="3" t="s">
        <v>40</v>
      </c>
      <c r="AC270" t="str">
        <f>IFERROR(VLOOKUP(C270,MigradosEfectivamente!B:B,1,FALSE),"No encontrado")</f>
        <v>No encontrado</v>
      </c>
    </row>
    <row r="271" spans="1:29" ht="45" x14ac:dyDescent="0.25">
      <c r="A271" s="3" t="s">
        <v>1069</v>
      </c>
      <c r="B271" s="3" t="s">
        <v>1070</v>
      </c>
      <c r="C271" s="3">
        <v>1097109853</v>
      </c>
      <c r="D271" s="3" t="s">
        <v>169</v>
      </c>
      <c r="E271" s="3">
        <v>3162687986</v>
      </c>
      <c r="F271" s="3" t="s">
        <v>1071</v>
      </c>
      <c r="G271" s="3">
        <v>89</v>
      </c>
      <c r="H271" s="3" t="s">
        <v>110</v>
      </c>
      <c r="I271" s="3" t="s">
        <v>33</v>
      </c>
      <c r="J271" s="3" t="s">
        <v>34</v>
      </c>
      <c r="K271" s="3"/>
      <c r="L271" s="3"/>
      <c r="M271" s="3"/>
      <c r="N271" s="3" t="s">
        <v>35</v>
      </c>
      <c r="O271" s="3" t="s">
        <v>36</v>
      </c>
      <c r="P271" s="4">
        <v>45904.730729166666</v>
      </c>
      <c r="Q271" s="3">
        <v>7777777</v>
      </c>
      <c r="R271" s="3" t="s">
        <v>37</v>
      </c>
      <c r="S271" s="3"/>
      <c r="T271" s="3"/>
      <c r="U271" s="5" t="s">
        <v>38</v>
      </c>
      <c r="V271" s="3"/>
      <c r="W271" s="3" t="s">
        <v>39</v>
      </c>
      <c r="X271" s="3" t="s">
        <v>41</v>
      </c>
      <c r="Y271" s="3" t="s">
        <v>41</v>
      </c>
      <c r="Z271" s="3" t="s">
        <v>70</v>
      </c>
      <c r="AA271" s="3" t="s">
        <v>49</v>
      </c>
      <c r="AB271" s="3" t="s">
        <v>41</v>
      </c>
      <c r="AC271">
        <f>IFERROR(VLOOKUP(C271,MigradosEfectivamente!B:B,1,FALSE),"No encontrado")</f>
        <v>1097109853</v>
      </c>
    </row>
    <row r="272" spans="1:29" ht="45" x14ac:dyDescent="0.25">
      <c r="A272" s="3" t="s">
        <v>1072</v>
      </c>
      <c r="B272" s="3" t="s">
        <v>1073</v>
      </c>
      <c r="C272" s="3">
        <v>1093432722</v>
      </c>
      <c r="D272" s="3" t="s">
        <v>991</v>
      </c>
      <c r="E272" s="3" t="s">
        <v>1074</v>
      </c>
      <c r="F272" s="3" t="s">
        <v>1075</v>
      </c>
      <c r="G272" s="3">
        <v>89</v>
      </c>
      <c r="H272" s="3" t="s">
        <v>69</v>
      </c>
      <c r="I272" s="3" t="s">
        <v>33</v>
      </c>
      <c r="J272" s="3" t="s">
        <v>34</v>
      </c>
      <c r="K272" s="3"/>
      <c r="L272" s="3"/>
      <c r="M272" s="3"/>
      <c r="N272" s="3" t="s">
        <v>35</v>
      </c>
      <c r="O272" s="3" t="s">
        <v>36</v>
      </c>
      <c r="P272" s="4">
        <v>45904.730729166666</v>
      </c>
      <c r="Q272" s="3">
        <v>7777777</v>
      </c>
      <c r="R272" s="3" t="s">
        <v>37</v>
      </c>
      <c r="S272" s="3"/>
      <c r="T272" s="3"/>
      <c r="U272" s="5" t="s">
        <v>38</v>
      </c>
      <c r="V272" s="3"/>
      <c r="W272" s="3" t="s">
        <v>39</v>
      </c>
      <c r="X272" s="3" t="s">
        <v>40</v>
      </c>
      <c r="Y272" s="3" t="s">
        <v>41</v>
      </c>
      <c r="Z272" s="3" t="s">
        <v>70</v>
      </c>
      <c r="AA272" s="3" t="s">
        <v>49</v>
      </c>
      <c r="AB272" s="3" t="s">
        <v>40</v>
      </c>
      <c r="AC272" t="str">
        <f>IFERROR(VLOOKUP(C272,MigradosEfectivamente!B:B,1,FALSE),"No encontrado")</f>
        <v>No encontrado</v>
      </c>
    </row>
    <row r="273" spans="1:29" ht="45" x14ac:dyDescent="0.25">
      <c r="A273" s="3" t="s">
        <v>1076</v>
      </c>
      <c r="B273" s="3" t="s">
        <v>1077</v>
      </c>
      <c r="C273" s="3">
        <v>1246850</v>
      </c>
      <c r="D273" s="3" t="s">
        <v>1078</v>
      </c>
      <c r="E273" s="3">
        <v>3052773609</v>
      </c>
      <c r="F273" s="3" t="s">
        <v>1079</v>
      </c>
      <c r="G273" s="3">
        <v>89</v>
      </c>
      <c r="H273" s="3" t="s">
        <v>54</v>
      </c>
      <c r="I273" s="3" t="s">
        <v>33</v>
      </c>
      <c r="J273" s="3" t="s">
        <v>34</v>
      </c>
      <c r="K273" s="3"/>
      <c r="L273" s="3"/>
      <c r="M273" s="3"/>
      <c r="N273" s="3" t="s">
        <v>35</v>
      </c>
      <c r="O273" s="3" t="s">
        <v>36</v>
      </c>
      <c r="P273" s="4">
        <v>45904.730729166666</v>
      </c>
      <c r="Q273" s="3">
        <v>7777777</v>
      </c>
      <c r="R273" s="3" t="s">
        <v>37</v>
      </c>
      <c r="S273" s="3"/>
      <c r="T273" s="3"/>
      <c r="U273" s="5" t="s">
        <v>38</v>
      </c>
      <c r="V273" s="3"/>
      <c r="W273" s="3" t="s">
        <v>39</v>
      </c>
      <c r="X273" s="3" t="s">
        <v>40</v>
      </c>
      <c r="Y273" s="3" t="s">
        <v>41</v>
      </c>
      <c r="Z273" s="3" t="s">
        <v>70</v>
      </c>
      <c r="AA273" s="3" t="s">
        <v>49</v>
      </c>
      <c r="AB273" s="3" t="s">
        <v>41</v>
      </c>
      <c r="AC273" t="str">
        <f>IFERROR(VLOOKUP(C273,MigradosEfectivamente!B:B,1,FALSE),"No encontrado")</f>
        <v>No encontrado</v>
      </c>
    </row>
    <row r="274" spans="1:29" ht="45" x14ac:dyDescent="0.25">
      <c r="A274" s="3" t="s">
        <v>1080</v>
      </c>
      <c r="B274" s="3" t="s">
        <v>1081</v>
      </c>
      <c r="C274" s="3">
        <v>1098739458</v>
      </c>
      <c r="D274" s="3" t="s">
        <v>1082</v>
      </c>
      <c r="E274" s="3">
        <v>3213938876</v>
      </c>
      <c r="F274" s="3" t="s">
        <v>1083</v>
      </c>
      <c r="G274" s="3">
        <v>89</v>
      </c>
      <c r="H274" s="3" t="s">
        <v>48</v>
      </c>
      <c r="I274" s="3" t="s">
        <v>33</v>
      </c>
      <c r="J274" s="3" t="s">
        <v>34</v>
      </c>
      <c r="K274" s="3"/>
      <c r="L274" s="3"/>
      <c r="M274" s="3"/>
      <c r="N274" s="3" t="s">
        <v>35</v>
      </c>
      <c r="O274" s="3" t="s">
        <v>36</v>
      </c>
      <c r="P274" s="4">
        <v>45903.640127314815</v>
      </c>
      <c r="Q274" s="3">
        <v>7777777</v>
      </c>
      <c r="R274" s="3" t="s">
        <v>37</v>
      </c>
      <c r="S274" s="3"/>
      <c r="T274" s="3"/>
      <c r="U274" s="5" t="s">
        <v>38</v>
      </c>
      <c r="V274" s="3"/>
      <c r="W274" s="3" t="s">
        <v>39</v>
      </c>
      <c r="X274" s="3" t="s">
        <v>41</v>
      </c>
      <c r="Y274" s="3" t="s">
        <v>41</v>
      </c>
      <c r="Z274" s="3" t="s">
        <v>70</v>
      </c>
      <c r="AA274" s="3" t="s">
        <v>49</v>
      </c>
      <c r="AB274" s="3" t="s">
        <v>41</v>
      </c>
      <c r="AC274">
        <f>IFERROR(VLOOKUP(C274,MigradosEfectivamente!B:B,1,FALSE),"No encontrado")</f>
        <v>1098739458</v>
      </c>
    </row>
    <row r="275" spans="1:29" ht="45" x14ac:dyDescent="0.25">
      <c r="A275" s="3" t="s">
        <v>1084</v>
      </c>
      <c r="B275" s="3" t="s">
        <v>1085</v>
      </c>
      <c r="C275" s="3">
        <v>1010173710</v>
      </c>
      <c r="D275" s="3" t="s">
        <v>1086</v>
      </c>
      <c r="E275" s="3">
        <v>3105624830</v>
      </c>
      <c r="F275" s="3" t="s">
        <v>1087</v>
      </c>
      <c r="G275" s="3">
        <v>89</v>
      </c>
      <c r="H275" s="3" t="s">
        <v>59</v>
      </c>
      <c r="I275" s="3" t="s">
        <v>33</v>
      </c>
      <c r="J275" s="3" t="s">
        <v>34</v>
      </c>
      <c r="K275" s="3"/>
      <c r="L275" s="3"/>
      <c r="M275" s="3"/>
      <c r="N275" s="3" t="s">
        <v>35</v>
      </c>
      <c r="O275" s="3" t="s">
        <v>36</v>
      </c>
      <c r="P275" s="4">
        <v>45903.640127314815</v>
      </c>
      <c r="Q275" s="3">
        <v>7777777</v>
      </c>
      <c r="R275" s="3" t="s">
        <v>37</v>
      </c>
      <c r="S275" s="3"/>
      <c r="T275" s="3"/>
      <c r="U275" s="5" t="s">
        <v>38</v>
      </c>
      <c r="V275" s="3"/>
      <c r="W275" s="3" t="s">
        <v>39</v>
      </c>
      <c r="X275" s="3" t="s">
        <v>40</v>
      </c>
      <c r="Y275" s="3" t="s">
        <v>41</v>
      </c>
      <c r="Z275" s="3" t="s">
        <v>42</v>
      </c>
      <c r="AA275" s="3" t="s">
        <v>49</v>
      </c>
      <c r="AB275" s="3" t="s">
        <v>40</v>
      </c>
      <c r="AC275" t="str">
        <f>IFERROR(VLOOKUP(C275,MigradosEfectivamente!B:B,1,FALSE),"No encontrado")</f>
        <v>No encontrado</v>
      </c>
    </row>
    <row r="276" spans="1:29" ht="45" x14ac:dyDescent="0.25">
      <c r="A276" s="3" t="s">
        <v>1088</v>
      </c>
      <c r="B276" s="3" t="s">
        <v>1089</v>
      </c>
      <c r="C276" s="3">
        <v>63558432</v>
      </c>
      <c r="D276" s="3" t="s">
        <v>1090</v>
      </c>
      <c r="E276" s="3">
        <v>3152180360</v>
      </c>
      <c r="F276" s="3" t="s">
        <v>1091</v>
      </c>
      <c r="G276" s="3">
        <v>89</v>
      </c>
      <c r="H276" s="3" t="s">
        <v>180</v>
      </c>
      <c r="I276" s="3" t="s">
        <v>33</v>
      </c>
      <c r="J276" s="3" t="s">
        <v>34</v>
      </c>
      <c r="K276" s="3"/>
      <c r="L276" s="3"/>
      <c r="M276" s="3"/>
      <c r="N276" s="3" t="s">
        <v>35</v>
      </c>
      <c r="O276" s="3" t="s">
        <v>36</v>
      </c>
      <c r="P276" s="4">
        <v>45903.640127314815</v>
      </c>
      <c r="Q276" s="3">
        <v>7777777</v>
      </c>
      <c r="R276" s="3" t="s">
        <v>37</v>
      </c>
      <c r="S276" s="3"/>
      <c r="T276" s="3"/>
      <c r="U276" s="5" t="s">
        <v>38</v>
      </c>
      <c r="V276" s="3"/>
      <c r="W276" s="3" t="s">
        <v>39</v>
      </c>
      <c r="X276" s="3" t="s">
        <v>40</v>
      </c>
      <c r="Y276" s="3" t="s">
        <v>41</v>
      </c>
      <c r="Z276" s="3" t="s">
        <v>92</v>
      </c>
      <c r="AA276" s="3" t="s">
        <v>49</v>
      </c>
      <c r="AB276" s="3" t="s">
        <v>40</v>
      </c>
      <c r="AC276" t="str">
        <f>IFERROR(VLOOKUP(C276,MigradosEfectivamente!B:B,1,FALSE),"No encontrado")</f>
        <v>No encontrado</v>
      </c>
    </row>
    <row r="277" spans="1:29" ht="45" x14ac:dyDescent="0.25">
      <c r="A277" s="3" t="s">
        <v>1092</v>
      </c>
      <c r="B277" s="3" t="s">
        <v>1093</v>
      </c>
      <c r="C277" s="3">
        <v>63542363</v>
      </c>
      <c r="D277" s="3" t="s">
        <v>1094</v>
      </c>
      <c r="E277" s="3">
        <v>3016054088</v>
      </c>
      <c r="F277" s="3" t="s">
        <v>1095</v>
      </c>
      <c r="G277" s="3">
        <v>89</v>
      </c>
      <c r="H277" s="3" t="s">
        <v>48</v>
      </c>
      <c r="I277" s="3" t="s">
        <v>33</v>
      </c>
      <c r="J277" s="3" t="s">
        <v>34</v>
      </c>
      <c r="K277" s="3"/>
      <c r="L277" s="3"/>
      <c r="M277" s="3"/>
      <c r="N277" s="3" t="s">
        <v>35</v>
      </c>
      <c r="O277" s="3" t="s">
        <v>36</v>
      </c>
      <c r="P277" s="4">
        <v>45903.640127314815</v>
      </c>
      <c r="Q277" s="3">
        <v>7777777</v>
      </c>
      <c r="R277" s="3" t="s">
        <v>37</v>
      </c>
      <c r="S277" s="3"/>
      <c r="T277" s="3"/>
      <c r="U277" s="5" t="s">
        <v>38</v>
      </c>
      <c r="V277" s="3"/>
      <c r="W277" s="3" t="s">
        <v>39</v>
      </c>
      <c r="X277" s="3" t="s">
        <v>40</v>
      </c>
      <c r="Y277" s="3" t="s">
        <v>41</v>
      </c>
      <c r="Z277" s="3" t="s">
        <v>42</v>
      </c>
      <c r="AA277" s="3" t="s">
        <v>49</v>
      </c>
      <c r="AB277" s="3" t="s">
        <v>41</v>
      </c>
      <c r="AC277" t="str">
        <f>IFERROR(VLOOKUP(C277,MigradosEfectivamente!B:B,1,FALSE),"No encontrado")</f>
        <v>No encontrado</v>
      </c>
    </row>
    <row r="278" spans="1:29" ht="45" x14ac:dyDescent="0.25">
      <c r="A278" s="3" t="s">
        <v>1096</v>
      </c>
      <c r="B278" s="3" t="s">
        <v>1097</v>
      </c>
      <c r="C278" s="3">
        <v>1098614692</v>
      </c>
      <c r="D278" s="3" t="s">
        <v>1098</v>
      </c>
      <c r="E278" s="3">
        <v>3143210312</v>
      </c>
      <c r="F278" s="3" t="s">
        <v>1099</v>
      </c>
      <c r="G278" s="3">
        <v>89</v>
      </c>
      <c r="H278" s="3" t="s">
        <v>110</v>
      </c>
      <c r="I278" s="3" t="s">
        <v>33</v>
      </c>
      <c r="J278" s="3" t="s">
        <v>34</v>
      </c>
      <c r="K278" s="3"/>
      <c r="L278" s="3"/>
      <c r="M278" s="3"/>
      <c r="N278" s="3" t="s">
        <v>35</v>
      </c>
      <c r="O278" s="3" t="s">
        <v>36</v>
      </c>
      <c r="P278" s="4">
        <v>45903.640127314815</v>
      </c>
      <c r="Q278" s="3">
        <v>7777777</v>
      </c>
      <c r="R278" s="3" t="s">
        <v>37</v>
      </c>
      <c r="S278" s="3"/>
      <c r="T278" s="3"/>
      <c r="U278" s="5" t="s">
        <v>38</v>
      </c>
      <c r="V278" s="3"/>
      <c r="W278" s="3" t="s">
        <v>39</v>
      </c>
      <c r="X278" s="3" t="s">
        <v>41</v>
      </c>
      <c r="Y278" s="3" t="s">
        <v>41</v>
      </c>
      <c r="Z278" s="3" t="s">
        <v>92</v>
      </c>
      <c r="AA278" s="3" t="s">
        <v>49</v>
      </c>
      <c r="AB278" s="3" t="s">
        <v>41</v>
      </c>
      <c r="AC278">
        <f>IFERROR(VLOOKUP(C278,MigradosEfectivamente!B:B,1,FALSE),"No encontrado")</f>
        <v>1098614692</v>
      </c>
    </row>
    <row r="279" spans="1:29" ht="60" x14ac:dyDescent="0.25">
      <c r="A279" s="3" t="s">
        <v>1100</v>
      </c>
      <c r="B279" s="3" t="s">
        <v>1101</v>
      </c>
      <c r="C279" s="3">
        <v>1005258489</v>
      </c>
      <c r="D279" s="3" t="s">
        <v>1102</v>
      </c>
      <c r="E279" s="3">
        <v>3138771004</v>
      </c>
      <c r="F279" s="3" t="s">
        <v>1103</v>
      </c>
      <c r="G279" s="3">
        <v>89</v>
      </c>
      <c r="H279" s="3" t="s">
        <v>97</v>
      </c>
      <c r="I279" s="3" t="s">
        <v>33</v>
      </c>
      <c r="J279" s="3" t="s">
        <v>34</v>
      </c>
      <c r="K279" s="3"/>
      <c r="L279" s="3"/>
      <c r="M279" s="3"/>
      <c r="N279" s="3" t="s">
        <v>35</v>
      </c>
      <c r="O279" s="3" t="s">
        <v>36</v>
      </c>
      <c r="P279" s="4">
        <v>45903.640127314815</v>
      </c>
      <c r="Q279" s="3">
        <v>7777777</v>
      </c>
      <c r="R279" s="3" t="s">
        <v>37</v>
      </c>
      <c r="S279" s="3"/>
      <c r="T279" s="3"/>
      <c r="U279" s="5" t="s">
        <v>38</v>
      </c>
      <c r="V279" s="3"/>
      <c r="W279" s="3" t="s">
        <v>60</v>
      </c>
      <c r="X279" s="3" t="s">
        <v>40</v>
      </c>
      <c r="Y279" s="3" t="s">
        <v>41</v>
      </c>
      <c r="Z279" s="3" t="s">
        <v>42</v>
      </c>
      <c r="AA279" s="3" t="s">
        <v>49</v>
      </c>
      <c r="AB279" s="3" t="s">
        <v>40</v>
      </c>
      <c r="AC279" t="str">
        <f>IFERROR(VLOOKUP(C279,MigradosEfectivamente!B:B,1,FALSE),"No encontrado")</f>
        <v>No encontrado</v>
      </c>
    </row>
    <row r="280" spans="1:29" ht="60" x14ac:dyDescent="0.25">
      <c r="A280" s="3" t="s">
        <v>1104</v>
      </c>
      <c r="B280" s="3" t="s">
        <v>1105</v>
      </c>
      <c r="C280" s="3">
        <v>1149459468</v>
      </c>
      <c r="D280" s="3" t="s">
        <v>1106</v>
      </c>
      <c r="E280" s="3">
        <v>3123650771</v>
      </c>
      <c r="F280" s="3" t="s">
        <v>1107</v>
      </c>
      <c r="G280" s="3">
        <v>89</v>
      </c>
      <c r="H280" s="3" t="s">
        <v>69</v>
      </c>
      <c r="I280" s="3" t="s">
        <v>82</v>
      </c>
      <c r="J280" s="3" t="s">
        <v>34</v>
      </c>
      <c r="K280" s="3"/>
      <c r="L280" s="3"/>
      <c r="M280" s="3"/>
      <c r="N280" s="3" t="s">
        <v>35</v>
      </c>
      <c r="O280" s="3" t="s">
        <v>36</v>
      </c>
      <c r="P280" s="4">
        <v>45903.640127314815</v>
      </c>
      <c r="Q280" s="3">
        <v>7777777</v>
      </c>
      <c r="R280" s="3" t="s">
        <v>37</v>
      </c>
      <c r="S280" s="3"/>
      <c r="T280" s="3"/>
      <c r="U280" s="5" t="s">
        <v>38</v>
      </c>
      <c r="V280" s="3"/>
      <c r="W280" s="3" t="s">
        <v>60</v>
      </c>
      <c r="X280" s="3" t="s">
        <v>41</v>
      </c>
      <c r="Y280" s="3" t="s">
        <v>41</v>
      </c>
      <c r="Z280" s="3" t="s">
        <v>42</v>
      </c>
      <c r="AA280" s="3" t="s">
        <v>49</v>
      </c>
      <c r="AB280" s="3" t="s">
        <v>40</v>
      </c>
      <c r="AC280">
        <f>IFERROR(VLOOKUP(C280,MigradosEfectivamente!B:B,1,FALSE),"No encontrado")</f>
        <v>1149459468</v>
      </c>
    </row>
    <row r="281" spans="1:29" ht="45" x14ac:dyDescent="0.25">
      <c r="A281" s="3" t="s">
        <v>1108</v>
      </c>
      <c r="B281" s="3" t="s">
        <v>1109</v>
      </c>
      <c r="C281" s="3">
        <v>1095301808</v>
      </c>
      <c r="D281" s="3" t="s">
        <v>122</v>
      </c>
      <c r="E281" s="3">
        <v>3332838640</v>
      </c>
      <c r="F281" s="3" t="s">
        <v>1110</v>
      </c>
      <c r="G281" s="3">
        <v>89</v>
      </c>
      <c r="H281" s="3" t="s">
        <v>97</v>
      </c>
      <c r="I281" s="3" t="s">
        <v>33</v>
      </c>
      <c r="J281" s="3" t="s">
        <v>34</v>
      </c>
      <c r="K281" s="3"/>
      <c r="L281" s="3"/>
      <c r="M281" s="3"/>
      <c r="N281" s="3" t="s">
        <v>35</v>
      </c>
      <c r="O281" s="3" t="s">
        <v>36</v>
      </c>
      <c r="P281" s="4">
        <v>45903.640127314815</v>
      </c>
      <c r="Q281" s="3">
        <v>7777777</v>
      </c>
      <c r="R281" s="3" t="s">
        <v>37</v>
      </c>
      <c r="S281" s="3"/>
      <c r="T281" s="3"/>
      <c r="U281" s="5" t="s">
        <v>38</v>
      </c>
      <c r="V281" s="3"/>
      <c r="W281" s="3" t="s">
        <v>39</v>
      </c>
      <c r="X281" s="3" t="s">
        <v>40</v>
      </c>
      <c r="Y281" s="3" t="s">
        <v>41</v>
      </c>
      <c r="Z281" s="3" t="s">
        <v>70</v>
      </c>
      <c r="AA281" s="3" t="s">
        <v>49</v>
      </c>
      <c r="AB281" s="3" t="s">
        <v>41</v>
      </c>
      <c r="AC281" t="str">
        <f>IFERROR(VLOOKUP(C281,MigradosEfectivamente!B:B,1,FALSE),"No encontrado")</f>
        <v>No encontrado</v>
      </c>
    </row>
    <row r="282" spans="1:29" ht="60" x14ac:dyDescent="0.25">
      <c r="A282" s="3" t="s">
        <v>1111</v>
      </c>
      <c r="B282" s="3" t="s">
        <v>1112</v>
      </c>
      <c r="C282" s="3">
        <v>1092176902</v>
      </c>
      <c r="D282" s="3" t="s">
        <v>1113</v>
      </c>
      <c r="E282" s="3">
        <v>3209981295</v>
      </c>
      <c r="F282" s="3" t="s">
        <v>1114</v>
      </c>
      <c r="G282" s="3">
        <v>89</v>
      </c>
      <c r="H282" s="3" t="s">
        <v>97</v>
      </c>
      <c r="I282" s="3" t="s">
        <v>33</v>
      </c>
      <c r="J282" s="3" t="s">
        <v>34</v>
      </c>
      <c r="K282" s="3"/>
      <c r="L282" s="3"/>
      <c r="M282" s="3"/>
      <c r="N282" s="3" t="s">
        <v>35</v>
      </c>
      <c r="O282" s="3" t="s">
        <v>36</v>
      </c>
      <c r="P282" s="4">
        <v>45903.640127314815</v>
      </c>
      <c r="Q282" s="3">
        <v>7777777</v>
      </c>
      <c r="R282" s="3" t="s">
        <v>37</v>
      </c>
      <c r="S282" s="3"/>
      <c r="T282" s="3"/>
      <c r="U282" s="5" t="s">
        <v>38</v>
      </c>
      <c r="V282" s="3"/>
      <c r="W282" s="3" t="s">
        <v>60</v>
      </c>
      <c r="X282" s="3" t="s">
        <v>40</v>
      </c>
      <c r="Y282" s="3" t="s">
        <v>41</v>
      </c>
      <c r="Z282" s="3" t="s">
        <v>42</v>
      </c>
      <c r="AA282" s="3" t="s">
        <v>49</v>
      </c>
      <c r="AB282" s="3" t="s">
        <v>40</v>
      </c>
      <c r="AC282" t="str">
        <f>IFERROR(VLOOKUP(C282,MigradosEfectivamente!B:B,1,FALSE),"No encontrado")</f>
        <v>No encontrado</v>
      </c>
    </row>
    <row r="283" spans="1:29" ht="60" x14ac:dyDescent="0.25">
      <c r="A283" s="3" t="s">
        <v>1115</v>
      </c>
      <c r="B283" s="3" t="s">
        <v>1116</v>
      </c>
      <c r="C283" s="3">
        <v>1098700527</v>
      </c>
      <c r="D283" s="3" t="s">
        <v>1117</v>
      </c>
      <c r="E283" s="3">
        <v>3015300585</v>
      </c>
      <c r="F283" s="3" t="s">
        <v>1118</v>
      </c>
      <c r="G283" s="3">
        <v>89</v>
      </c>
      <c r="H283" s="3" t="s">
        <v>97</v>
      </c>
      <c r="I283" s="3" t="s">
        <v>33</v>
      </c>
      <c r="J283" s="3" t="s">
        <v>34</v>
      </c>
      <c r="K283" s="3"/>
      <c r="L283" s="3"/>
      <c r="M283" s="3"/>
      <c r="N283" s="3" t="s">
        <v>35</v>
      </c>
      <c r="O283" s="3" t="s">
        <v>36</v>
      </c>
      <c r="P283" s="4">
        <v>45903.640127314815</v>
      </c>
      <c r="Q283" s="3">
        <v>7777777</v>
      </c>
      <c r="R283" s="3" t="s">
        <v>37</v>
      </c>
      <c r="S283" s="3"/>
      <c r="T283" s="3"/>
      <c r="U283" s="5" t="s">
        <v>38</v>
      </c>
      <c r="V283" s="3"/>
      <c r="W283" s="3" t="s">
        <v>60</v>
      </c>
      <c r="X283" s="3" t="s">
        <v>41</v>
      </c>
      <c r="Y283" s="3" t="s">
        <v>41</v>
      </c>
      <c r="Z283" s="3" t="s">
        <v>42</v>
      </c>
      <c r="AA283" s="3" t="s">
        <v>49</v>
      </c>
      <c r="AB283" s="3" t="s">
        <v>40</v>
      </c>
      <c r="AC283" t="str">
        <f>IFERROR(VLOOKUP(C283,MigradosEfectivamente!B:B,1,FALSE),"No encontrado")</f>
        <v>No encontrado</v>
      </c>
    </row>
    <row r="284" spans="1:29" ht="45" x14ac:dyDescent="0.25">
      <c r="A284" s="3" t="s">
        <v>1119</v>
      </c>
      <c r="B284" s="3" t="s">
        <v>1120</v>
      </c>
      <c r="C284" s="3">
        <v>60353492</v>
      </c>
      <c r="D284" s="3" t="s">
        <v>169</v>
      </c>
      <c r="E284" s="3">
        <v>3153872600</v>
      </c>
      <c r="F284" s="3" t="s">
        <v>1121</v>
      </c>
      <c r="G284" s="3">
        <v>89</v>
      </c>
      <c r="H284" s="3" t="s">
        <v>136</v>
      </c>
      <c r="I284" s="3" t="s">
        <v>33</v>
      </c>
      <c r="J284" s="3" t="s">
        <v>34</v>
      </c>
      <c r="K284" s="3"/>
      <c r="L284" s="3"/>
      <c r="M284" s="3"/>
      <c r="N284" s="3" t="s">
        <v>35</v>
      </c>
      <c r="O284" s="3" t="s">
        <v>36</v>
      </c>
      <c r="P284" s="4">
        <v>45903.640127314815</v>
      </c>
      <c r="Q284" s="3">
        <v>7777777</v>
      </c>
      <c r="R284" s="3" t="s">
        <v>37</v>
      </c>
      <c r="S284" s="3"/>
      <c r="T284" s="3"/>
      <c r="U284" s="5" t="s">
        <v>38</v>
      </c>
      <c r="V284" s="3"/>
      <c r="W284" s="3" t="s">
        <v>39</v>
      </c>
      <c r="X284" s="3" t="s">
        <v>41</v>
      </c>
      <c r="Y284" s="3" t="s">
        <v>41</v>
      </c>
      <c r="Z284" s="3" t="s">
        <v>70</v>
      </c>
      <c r="AA284" s="3" t="s">
        <v>49</v>
      </c>
      <c r="AB284" s="3" t="s">
        <v>40</v>
      </c>
      <c r="AC284" t="str">
        <f>IFERROR(VLOOKUP(C284,MigradosEfectivamente!B:B,1,FALSE),"No encontrado")</f>
        <v>No encontrado</v>
      </c>
    </row>
    <row r="285" spans="1:29" ht="45" x14ac:dyDescent="0.25">
      <c r="A285" s="3" t="s">
        <v>1122</v>
      </c>
      <c r="B285" s="3" t="s">
        <v>1123</v>
      </c>
      <c r="C285" s="3">
        <v>1006420120</v>
      </c>
      <c r="D285" s="3" t="s">
        <v>1124</v>
      </c>
      <c r="E285" s="3" t="s">
        <v>1125</v>
      </c>
      <c r="F285" s="3" t="s">
        <v>1126</v>
      </c>
      <c r="G285" s="3">
        <v>89</v>
      </c>
      <c r="H285" s="3" t="s">
        <v>69</v>
      </c>
      <c r="I285" s="3" t="s">
        <v>33</v>
      </c>
      <c r="J285" s="3" t="s">
        <v>34</v>
      </c>
      <c r="K285" s="3"/>
      <c r="L285" s="3"/>
      <c r="M285" s="3"/>
      <c r="N285" s="3" t="s">
        <v>35</v>
      </c>
      <c r="O285" s="3" t="s">
        <v>36</v>
      </c>
      <c r="P285" s="4">
        <v>45903.640127314815</v>
      </c>
      <c r="Q285" s="3">
        <v>7777777</v>
      </c>
      <c r="R285" s="3" t="s">
        <v>37</v>
      </c>
      <c r="S285" s="3"/>
      <c r="T285" s="3"/>
      <c r="U285" s="5" t="s">
        <v>38</v>
      </c>
      <c r="V285" s="3"/>
      <c r="W285" s="3" t="s">
        <v>39</v>
      </c>
      <c r="X285" s="3" t="s">
        <v>40</v>
      </c>
      <c r="Y285" s="3" t="s">
        <v>41</v>
      </c>
      <c r="Z285" s="3" t="s">
        <v>70</v>
      </c>
      <c r="AA285" s="3" t="s">
        <v>49</v>
      </c>
      <c r="AB285" s="3" t="s">
        <v>41</v>
      </c>
      <c r="AC285" t="str">
        <f>IFERROR(VLOOKUP(C285,MigradosEfectivamente!B:B,1,FALSE),"No encontrado")</f>
        <v>No encontrado</v>
      </c>
    </row>
    <row r="286" spans="1:29" ht="45" x14ac:dyDescent="0.25">
      <c r="A286" s="3">
        <v>23039</v>
      </c>
      <c r="B286" s="3" t="s">
        <v>1127</v>
      </c>
      <c r="C286" s="3">
        <v>1102375904</v>
      </c>
      <c r="D286" s="3" t="s">
        <v>1128</v>
      </c>
      <c r="E286" s="3">
        <v>3103431324</v>
      </c>
      <c r="F286" s="3" t="s">
        <v>1129</v>
      </c>
      <c r="G286" s="3">
        <v>89</v>
      </c>
      <c r="H286" s="3" t="s">
        <v>269</v>
      </c>
      <c r="I286" s="3" t="s">
        <v>33</v>
      </c>
      <c r="J286" s="3" t="s">
        <v>34</v>
      </c>
      <c r="K286" s="3"/>
      <c r="L286" s="3"/>
      <c r="M286" s="3"/>
      <c r="N286" s="3" t="s">
        <v>35</v>
      </c>
      <c r="O286" s="3" t="s">
        <v>36</v>
      </c>
      <c r="P286" s="4">
        <v>45902.824363425927</v>
      </c>
      <c r="Q286" s="3">
        <v>7777777</v>
      </c>
      <c r="R286" s="3" t="s">
        <v>37</v>
      </c>
      <c r="S286" s="3"/>
      <c r="T286" s="3"/>
      <c r="U286" s="5" t="s">
        <v>38</v>
      </c>
      <c r="V286" s="3"/>
      <c r="W286" s="3" t="s">
        <v>39</v>
      </c>
      <c r="X286" s="3" t="s">
        <v>41</v>
      </c>
      <c r="Y286" s="3" t="s">
        <v>41</v>
      </c>
      <c r="Z286" s="3" t="s">
        <v>92</v>
      </c>
      <c r="AA286" s="3" t="s">
        <v>49</v>
      </c>
      <c r="AB286" s="3" t="s">
        <v>40</v>
      </c>
      <c r="AC286">
        <f>IFERROR(VLOOKUP(C286,MigradosEfectivamente!B:B,1,FALSE),"No encontrado")</f>
        <v>1102375904</v>
      </c>
    </row>
    <row r="287" spans="1:29" ht="45" x14ac:dyDescent="0.25">
      <c r="A287" s="3" t="s">
        <v>1130</v>
      </c>
      <c r="B287" s="3" t="s">
        <v>1131</v>
      </c>
      <c r="C287" s="3">
        <v>736198</v>
      </c>
      <c r="D287" s="3" t="s">
        <v>122</v>
      </c>
      <c r="E287" s="3">
        <v>3041249922</v>
      </c>
      <c r="F287" s="3" t="s">
        <v>141</v>
      </c>
      <c r="G287" s="3">
        <v>89</v>
      </c>
      <c r="H287" s="3" t="s">
        <v>59</v>
      </c>
      <c r="I287" s="3" t="s">
        <v>33</v>
      </c>
      <c r="J287" s="3" t="s">
        <v>34</v>
      </c>
      <c r="K287" s="3"/>
      <c r="L287" s="3"/>
      <c r="M287" s="3"/>
      <c r="N287" s="3" t="s">
        <v>35</v>
      </c>
      <c r="O287" s="3" t="s">
        <v>36</v>
      </c>
      <c r="P287" s="4">
        <v>45902.824363425927</v>
      </c>
      <c r="Q287" s="3">
        <v>7777777</v>
      </c>
      <c r="R287" s="3" t="s">
        <v>37</v>
      </c>
      <c r="S287" s="3"/>
      <c r="T287" s="3"/>
      <c r="U287" s="5" t="s">
        <v>38</v>
      </c>
      <c r="V287" s="3"/>
      <c r="W287" s="3" t="s">
        <v>39</v>
      </c>
      <c r="X287" s="3" t="s">
        <v>40</v>
      </c>
      <c r="Y287" s="3" t="s">
        <v>41</v>
      </c>
      <c r="Z287" s="3" t="s">
        <v>70</v>
      </c>
      <c r="AA287" s="3" t="s">
        <v>49</v>
      </c>
      <c r="AB287" s="3" t="s">
        <v>40</v>
      </c>
      <c r="AC287" t="str">
        <f>IFERROR(VLOOKUP(C287,MigradosEfectivamente!B:B,1,FALSE),"No encontrado")</f>
        <v>No encontrado</v>
      </c>
    </row>
    <row r="288" spans="1:29" ht="60" x14ac:dyDescent="0.25">
      <c r="A288" s="3" t="s">
        <v>1132</v>
      </c>
      <c r="B288" s="3" t="s">
        <v>1133</v>
      </c>
      <c r="C288" s="3">
        <v>1005064738</v>
      </c>
      <c r="D288" s="3" t="s">
        <v>1134</v>
      </c>
      <c r="E288" s="3">
        <v>3173542103</v>
      </c>
      <c r="F288" s="3" t="s">
        <v>1135</v>
      </c>
      <c r="G288" s="3">
        <v>89</v>
      </c>
      <c r="H288" s="3" t="s">
        <v>136</v>
      </c>
      <c r="I288" s="3" t="s">
        <v>82</v>
      </c>
      <c r="J288" s="3" t="s">
        <v>34</v>
      </c>
      <c r="K288" s="3"/>
      <c r="L288" s="3"/>
      <c r="M288" s="3"/>
      <c r="N288" s="3" t="s">
        <v>35</v>
      </c>
      <c r="O288" s="3" t="s">
        <v>36</v>
      </c>
      <c r="P288" s="4">
        <v>45902.824363425927</v>
      </c>
      <c r="Q288" s="3">
        <v>7777777</v>
      </c>
      <c r="R288" s="3" t="s">
        <v>37</v>
      </c>
      <c r="S288" s="3"/>
      <c r="T288" s="3"/>
      <c r="U288" s="5" t="s">
        <v>38</v>
      </c>
      <c r="V288" s="3"/>
      <c r="W288" s="3" t="s">
        <v>60</v>
      </c>
      <c r="X288" s="3" t="s">
        <v>40</v>
      </c>
      <c r="Y288" s="3" t="s">
        <v>41</v>
      </c>
      <c r="Z288" s="3" t="s">
        <v>42</v>
      </c>
      <c r="AA288" s="3" t="s">
        <v>49</v>
      </c>
      <c r="AB288" s="3" t="s">
        <v>40</v>
      </c>
      <c r="AC288" t="str">
        <f>IFERROR(VLOOKUP(C288,MigradosEfectivamente!B:B,1,FALSE),"No encontrado")</f>
        <v>No encontrado</v>
      </c>
    </row>
    <row r="289" spans="1:29" ht="45" x14ac:dyDescent="0.25">
      <c r="A289" s="3" t="s">
        <v>1136</v>
      </c>
      <c r="B289" s="3" t="s">
        <v>1137</v>
      </c>
      <c r="C289" s="3">
        <v>1005334263</v>
      </c>
      <c r="D289" s="3" t="s">
        <v>1138</v>
      </c>
      <c r="E289" s="3">
        <v>3213848770</v>
      </c>
      <c r="F289" s="3" t="s">
        <v>1139</v>
      </c>
      <c r="G289" s="3">
        <v>89</v>
      </c>
      <c r="H289" s="3" t="s">
        <v>59</v>
      </c>
      <c r="I289" s="3" t="s">
        <v>33</v>
      </c>
      <c r="J289" s="3" t="s">
        <v>34</v>
      </c>
      <c r="K289" s="3"/>
      <c r="L289" s="3"/>
      <c r="M289" s="3"/>
      <c r="N289" s="3" t="s">
        <v>35</v>
      </c>
      <c r="O289" s="3" t="s">
        <v>36</v>
      </c>
      <c r="P289" s="4">
        <v>45902.824363425927</v>
      </c>
      <c r="Q289" s="3">
        <v>7777777</v>
      </c>
      <c r="R289" s="3" t="s">
        <v>37</v>
      </c>
      <c r="S289" s="3"/>
      <c r="T289" s="3"/>
      <c r="U289" s="5" t="s">
        <v>38</v>
      </c>
      <c r="V289" s="3"/>
      <c r="W289" s="3" t="s">
        <v>39</v>
      </c>
      <c r="X289" s="3" t="s">
        <v>41</v>
      </c>
      <c r="Y289" s="3" t="s">
        <v>41</v>
      </c>
      <c r="Z289" s="3" t="s">
        <v>42</v>
      </c>
      <c r="AA289" s="3" t="s">
        <v>49</v>
      </c>
      <c r="AB289" s="3" t="s">
        <v>40</v>
      </c>
      <c r="AC289">
        <f>IFERROR(VLOOKUP(C289,MigradosEfectivamente!B:B,1,FALSE),"No encontrado")</f>
        <v>1005334263</v>
      </c>
    </row>
    <row r="290" spans="1:29" ht="60" x14ac:dyDescent="0.25">
      <c r="A290" s="3" t="s">
        <v>1140</v>
      </c>
      <c r="B290" s="3" t="s">
        <v>1141</v>
      </c>
      <c r="C290" s="3">
        <v>1091967242</v>
      </c>
      <c r="D290" s="3" t="s">
        <v>1142</v>
      </c>
      <c r="E290" s="3">
        <v>3054596779</v>
      </c>
      <c r="F290" s="3" t="s">
        <v>1143</v>
      </c>
      <c r="G290" s="3">
        <v>89</v>
      </c>
      <c r="H290" s="3" t="s">
        <v>136</v>
      </c>
      <c r="I290" s="3" t="s">
        <v>82</v>
      </c>
      <c r="J290" s="3" t="s">
        <v>34</v>
      </c>
      <c r="K290" s="3"/>
      <c r="L290" s="3"/>
      <c r="M290" s="3"/>
      <c r="N290" s="3" t="s">
        <v>35</v>
      </c>
      <c r="O290" s="3" t="s">
        <v>36</v>
      </c>
      <c r="P290" s="4">
        <v>45902.824363425927</v>
      </c>
      <c r="Q290" s="3">
        <v>7777777</v>
      </c>
      <c r="R290" s="3" t="s">
        <v>37</v>
      </c>
      <c r="S290" s="3"/>
      <c r="T290" s="3"/>
      <c r="U290" s="5" t="s">
        <v>38</v>
      </c>
      <c r="V290" s="3"/>
      <c r="W290" s="3" t="s">
        <v>60</v>
      </c>
      <c r="X290" s="3" t="s">
        <v>41</v>
      </c>
      <c r="Y290" s="3" t="s">
        <v>40</v>
      </c>
      <c r="Z290" s="3" t="s">
        <v>42</v>
      </c>
      <c r="AA290" s="3" t="s">
        <v>49</v>
      </c>
      <c r="AB290" s="3" t="s">
        <v>40</v>
      </c>
      <c r="AC290" t="str">
        <f>IFERROR(VLOOKUP(C290,MigradosEfectivamente!B:B,1,FALSE),"No encontrado")</f>
        <v>No encontrado</v>
      </c>
    </row>
    <row r="291" spans="1:29" ht="45" x14ac:dyDescent="0.25">
      <c r="A291" s="3" t="s">
        <v>1144</v>
      </c>
      <c r="B291" s="3" t="s">
        <v>1145</v>
      </c>
      <c r="C291" s="3">
        <v>1007952487</v>
      </c>
      <c r="D291" s="3" t="s">
        <v>344</v>
      </c>
      <c r="E291" s="3">
        <v>3204236265</v>
      </c>
      <c r="F291" s="3" t="s">
        <v>1146</v>
      </c>
      <c r="G291" s="3">
        <v>89</v>
      </c>
      <c r="H291" s="3" t="s">
        <v>54</v>
      </c>
      <c r="I291" s="3" t="s">
        <v>33</v>
      </c>
      <c r="J291" s="3" t="s">
        <v>34</v>
      </c>
      <c r="K291" s="3"/>
      <c r="L291" s="3"/>
      <c r="M291" s="3"/>
      <c r="N291" s="3" t="s">
        <v>35</v>
      </c>
      <c r="O291" s="3" t="s">
        <v>36</v>
      </c>
      <c r="P291" s="4">
        <v>45902.824363425927</v>
      </c>
      <c r="Q291" s="3">
        <v>7777777</v>
      </c>
      <c r="R291" s="3" t="s">
        <v>37</v>
      </c>
      <c r="S291" s="3"/>
      <c r="T291" s="3"/>
      <c r="U291" s="5" t="s">
        <v>38</v>
      </c>
      <c r="V291" s="3"/>
      <c r="W291" s="3" t="s">
        <v>39</v>
      </c>
      <c r="X291" s="3" t="s">
        <v>41</v>
      </c>
      <c r="Y291" s="3" t="s">
        <v>41</v>
      </c>
      <c r="Z291" s="3" t="s">
        <v>70</v>
      </c>
      <c r="AA291" s="3" t="s">
        <v>49</v>
      </c>
      <c r="AB291" s="3" t="s">
        <v>41</v>
      </c>
      <c r="AC291">
        <f>IFERROR(VLOOKUP(C291,MigradosEfectivamente!B:B,1,FALSE),"No encontrado")</f>
        <v>1007952487</v>
      </c>
    </row>
    <row r="292" spans="1:29" ht="45" x14ac:dyDescent="0.25">
      <c r="A292" s="3" t="s">
        <v>1147</v>
      </c>
      <c r="B292" s="3" t="s">
        <v>1148</v>
      </c>
      <c r="C292" s="3">
        <v>1116550776</v>
      </c>
      <c r="D292" s="3" t="s">
        <v>1149</v>
      </c>
      <c r="E292" s="3">
        <v>3202010959</v>
      </c>
      <c r="F292" s="3" t="s">
        <v>1150</v>
      </c>
      <c r="G292" s="3">
        <v>89</v>
      </c>
      <c r="H292" s="3" t="s">
        <v>48</v>
      </c>
      <c r="I292" s="3" t="s">
        <v>33</v>
      </c>
      <c r="J292" s="3" t="s">
        <v>34</v>
      </c>
      <c r="K292" s="3"/>
      <c r="L292" s="3"/>
      <c r="M292" s="3"/>
      <c r="N292" s="3" t="s">
        <v>35</v>
      </c>
      <c r="O292" s="3" t="s">
        <v>36</v>
      </c>
      <c r="P292" s="4">
        <v>45902.824363425927</v>
      </c>
      <c r="Q292" s="3">
        <v>7777777</v>
      </c>
      <c r="R292" s="3" t="s">
        <v>37</v>
      </c>
      <c r="S292" s="3"/>
      <c r="T292" s="3"/>
      <c r="U292" s="5" t="s">
        <v>38</v>
      </c>
      <c r="V292" s="3"/>
      <c r="W292" s="3" t="s">
        <v>39</v>
      </c>
      <c r="X292" s="3" t="s">
        <v>41</v>
      </c>
      <c r="Y292" s="3" t="s">
        <v>41</v>
      </c>
      <c r="Z292" s="3" t="s">
        <v>42</v>
      </c>
      <c r="AA292" s="3" t="s">
        <v>49</v>
      </c>
      <c r="AB292" s="3" t="s">
        <v>40</v>
      </c>
      <c r="AC292">
        <f>IFERROR(VLOOKUP(C292,MigradosEfectivamente!B:B,1,FALSE),"No encontrado")</f>
        <v>1116550776</v>
      </c>
    </row>
    <row r="293" spans="1:29" ht="45" x14ac:dyDescent="0.25">
      <c r="A293" s="3" t="s">
        <v>1151</v>
      </c>
      <c r="B293" s="3" t="s">
        <v>1152</v>
      </c>
      <c r="C293" s="3">
        <v>1093797175</v>
      </c>
      <c r="D293" s="3" t="s">
        <v>288</v>
      </c>
      <c r="E293" s="3">
        <v>3232206355</v>
      </c>
      <c r="F293" s="3" t="s">
        <v>1153</v>
      </c>
      <c r="G293" s="3">
        <v>89</v>
      </c>
      <c r="H293" s="3" t="s">
        <v>69</v>
      </c>
      <c r="I293" s="3" t="s">
        <v>33</v>
      </c>
      <c r="J293" s="3" t="s">
        <v>34</v>
      </c>
      <c r="K293" s="3"/>
      <c r="L293" s="3"/>
      <c r="M293" s="3"/>
      <c r="N293" s="3" t="s">
        <v>35</v>
      </c>
      <c r="O293" s="3" t="s">
        <v>36</v>
      </c>
      <c r="P293" s="4">
        <v>45902.824363425927</v>
      </c>
      <c r="Q293" s="3">
        <v>7777777</v>
      </c>
      <c r="R293" s="3" t="s">
        <v>37</v>
      </c>
      <c r="S293" s="3"/>
      <c r="T293" s="3"/>
      <c r="U293" s="5" t="s">
        <v>38</v>
      </c>
      <c r="V293" s="3"/>
      <c r="W293" s="3" t="s">
        <v>39</v>
      </c>
      <c r="X293" s="3" t="s">
        <v>41</v>
      </c>
      <c r="Y293" s="3" t="s">
        <v>41</v>
      </c>
      <c r="Z293" s="3" t="s">
        <v>70</v>
      </c>
      <c r="AA293" s="3" t="s">
        <v>49</v>
      </c>
      <c r="AB293" s="3" t="s">
        <v>41</v>
      </c>
      <c r="AC293">
        <f>IFERROR(VLOOKUP(C293,MigradosEfectivamente!B:B,1,FALSE),"No encontrado")</f>
        <v>1093797175</v>
      </c>
    </row>
    <row r="294" spans="1:29" ht="45" x14ac:dyDescent="0.25">
      <c r="A294" s="3" t="s">
        <v>1154</v>
      </c>
      <c r="B294" s="3" t="s">
        <v>1155</v>
      </c>
      <c r="C294" s="3">
        <v>1005347236</v>
      </c>
      <c r="D294" s="3" t="s">
        <v>598</v>
      </c>
      <c r="E294" s="3">
        <v>3222281170</v>
      </c>
      <c r="F294" s="3" t="s">
        <v>268</v>
      </c>
      <c r="G294" s="3">
        <v>89</v>
      </c>
      <c r="H294" s="3" t="s">
        <v>180</v>
      </c>
      <c r="I294" s="3" t="s">
        <v>33</v>
      </c>
      <c r="J294" s="3" t="s">
        <v>34</v>
      </c>
      <c r="K294" s="3"/>
      <c r="L294" s="3"/>
      <c r="M294" s="3"/>
      <c r="N294" s="3" t="s">
        <v>35</v>
      </c>
      <c r="O294" s="3" t="s">
        <v>36</v>
      </c>
      <c r="P294" s="4">
        <v>45902.824363425927</v>
      </c>
      <c r="Q294" s="3">
        <v>7777777</v>
      </c>
      <c r="R294" s="3" t="s">
        <v>37</v>
      </c>
      <c r="S294" s="3"/>
      <c r="T294" s="3"/>
      <c r="U294" s="5" t="s">
        <v>38</v>
      </c>
      <c r="V294" s="3"/>
      <c r="W294" s="3" t="s">
        <v>39</v>
      </c>
      <c r="X294" s="3" t="s">
        <v>40</v>
      </c>
      <c r="Y294" s="3" t="s">
        <v>41</v>
      </c>
      <c r="Z294" s="3" t="s">
        <v>70</v>
      </c>
      <c r="AA294" s="3" t="s">
        <v>49</v>
      </c>
      <c r="AB294" s="3" t="s">
        <v>40</v>
      </c>
      <c r="AC294" t="str">
        <f>IFERROR(VLOOKUP(C294,MigradosEfectivamente!B:B,1,FALSE),"No encontrado")</f>
        <v>No encontrado</v>
      </c>
    </row>
    <row r="295" spans="1:29" ht="45" x14ac:dyDescent="0.25">
      <c r="A295" s="3" t="s">
        <v>1156</v>
      </c>
      <c r="B295" s="3" t="s">
        <v>1157</v>
      </c>
      <c r="C295" s="3">
        <v>1098708328</v>
      </c>
      <c r="D295" s="3" t="s">
        <v>1158</v>
      </c>
      <c r="E295" s="3">
        <v>3142462382</v>
      </c>
      <c r="F295" s="3" t="s">
        <v>1159</v>
      </c>
      <c r="G295" s="3">
        <v>89</v>
      </c>
      <c r="H295" s="3" t="s">
        <v>48</v>
      </c>
      <c r="I295" s="3" t="s">
        <v>33</v>
      </c>
      <c r="J295" s="3" t="s">
        <v>34</v>
      </c>
      <c r="K295" s="3"/>
      <c r="L295" s="3"/>
      <c r="M295" s="3"/>
      <c r="N295" s="3" t="s">
        <v>35</v>
      </c>
      <c r="O295" s="3" t="s">
        <v>36</v>
      </c>
      <c r="P295" s="4">
        <v>45902.824363425927</v>
      </c>
      <c r="Q295" s="3">
        <v>7777777</v>
      </c>
      <c r="R295" s="3" t="s">
        <v>37</v>
      </c>
      <c r="S295" s="3"/>
      <c r="T295" s="3"/>
      <c r="U295" s="5" t="s">
        <v>38</v>
      </c>
      <c r="V295" s="3"/>
      <c r="W295" s="3" t="s">
        <v>39</v>
      </c>
      <c r="X295" s="3" t="s">
        <v>40</v>
      </c>
      <c r="Y295" s="3" t="s">
        <v>41</v>
      </c>
      <c r="Z295" s="3" t="s">
        <v>70</v>
      </c>
      <c r="AA295" s="3" t="s">
        <v>49</v>
      </c>
      <c r="AB295" s="3" t="s">
        <v>40</v>
      </c>
      <c r="AC295" t="str">
        <f>IFERROR(VLOOKUP(C295,MigradosEfectivamente!B:B,1,FALSE),"No encontrado")</f>
        <v>No encontrado</v>
      </c>
    </row>
    <row r="296" spans="1:29" ht="45" x14ac:dyDescent="0.25">
      <c r="A296" s="3" t="s">
        <v>1160</v>
      </c>
      <c r="B296" s="3" t="s">
        <v>1161</v>
      </c>
      <c r="C296" s="3">
        <v>1005257660</v>
      </c>
      <c r="D296" s="3" t="s">
        <v>46</v>
      </c>
      <c r="E296" s="3">
        <v>3168927430</v>
      </c>
      <c r="F296" s="3" t="s">
        <v>1162</v>
      </c>
      <c r="G296" s="3">
        <v>89</v>
      </c>
      <c r="H296" s="3" t="s">
        <v>48</v>
      </c>
      <c r="I296" s="3" t="s">
        <v>33</v>
      </c>
      <c r="J296" s="3" t="s">
        <v>34</v>
      </c>
      <c r="K296" s="3"/>
      <c r="L296" s="3"/>
      <c r="M296" s="3"/>
      <c r="N296" s="3" t="s">
        <v>35</v>
      </c>
      <c r="O296" s="3" t="s">
        <v>36</v>
      </c>
      <c r="P296" s="4">
        <v>45901.664421296293</v>
      </c>
      <c r="Q296" s="3">
        <v>7777777</v>
      </c>
      <c r="R296" s="3" t="s">
        <v>37</v>
      </c>
      <c r="S296" s="3"/>
      <c r="T296" s="3"/>
      <c r="U296" s="5" t="s">
        <v>38</v>
      </c>
      <c r="V296" s="3"/>
      <c r="W296" s="3" t="s">
        <v>39</v>
      </c>
      <c r="X296" s="3" t="s">
        <v>41</v>
      </c>
      <c r="Y296" s="3" t="s">
        <v>41</v>
      </c>
      <c r="Z296" s="3" t="s">
        <v>92</v>
      </c>
      <c r="AA296" s="3" t="s">
        <v>49</v>
      </c>
      <c r="AB296" s="3" t="s">
        <v>40</v>
      </c>
      <c r="AC296">
        <f>IFERROR(VLOOKUP(C296,MigradosEfectivamente!B:B,1,FALSE),"No encontrado")</f>
        <v>1005257660</v>
      </c>
    </row>
    <row r="297" spans="1:29" ht="45" x14ac:dyDescent="0.25">
      <c r="A297" s="3" t="s">
        <v>1163</v>
      </c>
      <c r="B297" s="3" t="s">
        <v>1164</v>
      </c>
      <c r="C297" s="3">
        <v>1098733900</v>
      </c>
      <c r="D297" s="3" t="s">
        <v>1165</v>
      </c>
      <c r="E297" s="3">
        <v>3112353994</v>
      </c>
      <c r="F297" s="3" t="s">
        <v>1166</v>
      </c>
      <c r="G297" s="3">
        <v>89</v>
      </c>
      <c r="H297" s="3" t="s">
        <v>110</v>
      </c>
      <c r="I297" s="3" t="s">
        <v>33</v>
      </c>
      <c r="J297" s="3" t="s">
        <v>34</v>
      </c>
      <c r="K297" s="3"/>
      <c r="L297" s="3"/>
      <c r="M297" s="3"/>
      <c r="N297" s="3" t="s">
        <v>35</v>
      </c>
      <c r="O297" s="3" t="s">
        <v>36</v>
      </c>
      <c r="P297" s="4">
        <v>45901.664421296293</v>
      </c>
      <c r="Q297" s="3">
        <v>7777777</v>
      </c>
      <c r="R297" s="3" t="s">
        <v>37</v>
      </c>
      <c r="S297" s="3"/>
      <c r="T297" s="3"/>
      <c r="U297" s="5" t="s">
        <v>38</v>
      </c>
      <c r="V297" s="3"/>
      <c r="W297" s="3" t="s">
        <v>39</v>
      </c>
      <c r="X297" s="3" t="s">
        <v>40</v>
      </c>
      <c r="Y297" s="3" t="s">
        <v>41</v>
      </c>
      <c r="Z297" s="3" t="s">
        <v>70</v>
      </c>
      <c r="AA297" s="3" t="s">
        <v>49</v>
      </c>
      <c r="AB297" s="3" t="s">
        <v>41</v>
      </c>
      <c r="AC297" t="str">
        <f>IFERROR(VLOOKUP(C297,MigradosEfectivamente!B:B,1,FALSE),"No encontrado")</f>
        <v>No encontrado</v>
      </c>
    </row>
    <row r="298" spans="1:29" ht="45" x14ac:dyDescent="0.25">
      <c r="A298" s="3" t="s">
        <v>1167</v>
      </c>
      <c r="B298" s="3" t="s">
        <v>1168</v>
      </c>
      <c r="C298" s="3">
        <v>63556182</v>
      </c>
      <c r="D298" s="3" t="s">
        <v>1169</v>
      </c>
      <c r="E298" s="3">
        <v>3165315916</v>
      </c>
      <c r="F298" s="3" t="s">
        <v>1170</v>
      </c>
      <c r="G298" s="3">
        <v>89</v>
      </c>
      <c r="H298" s="3" t="s">
        <v>48</v>
      </c>
      <c r="I298" s="3" t="s">
        <v>33</v>
      </c>
      <c r="J298" s="3" t="s">
        <v>34</v>
      </c>
      <c r="K298" s="3"/>
      <c r="L298" s="3"/>
      <c r="M298" s="3"/>
      <c r="N298" s="3" t="s">
        <v>35</v>
      </c>
      <c r="O298" s="3" t="s">
        <v>36</v>
      </c>
      <c r="P298" s="4">
        <v>45901.664421296293</v>
      </c>
      <c r="Q298" s="3">
        <v>7777777</v>
      </c>
      <c r="R298" s="3" t="s">
        <v>37</v>
      </c>
      <c r="S298" s="3"/>
      <c r="T298" s="3"/>
      <c r="U298" s="5" t="s">
        <v>38</v>
      </c>
      <c r="V298" s="3"/>
      <c r="W298" s="3" t="s">
        <v>39</v>
      </c>
      <c r="X298" s="3" t="s">
        <v>41</v>
      </c>
      <c r="Y298" s="3" t="s">
        <v>41</v>
      </c>
      <c r="Z298" s="3" t="s">
        <v>42</v>
      </c>
      <c r="AA298" s="3" t="s">
        <v>49</v>
      </c>
      <c r="AB298" s="3" t="s">
        <v>40</v>
      </c>
      <c r="AC298" t="str">
        <f>IFERROR(VLOOKUP(C298,MigradosEfectivamente!B:B,1,FALSE),"No encontrado")</f>
        <v>No encontrado</v>
      </c>
    </row>
    <row r="299" spans="1:29" ht="60" x14ac:dyDescent="0.25">
      <c r="A299" s="3" t="s">
        <v>1171</v>
      </c>
      <c r="B299" s="3" t="s">
        <v>1172</v>
      </c>
      <c r="C299" s="3">
        <v>5489941</v>
      </c>
      <c r="D299" s="3" t="s">
        <v>1173</v>
      </c>
      <c r="E299" s="3" t="s">
        <v>1174</v>
      </c>
      <c r="F299" s="3" t="s">
        <v>1175</v>
      </c>
      <c r="G299" s="3">
        <v>89</v>
      </c>
      <c r="H299" s="3" t="s">
        <v>136</v>
      </c>
      <c r="I299" s="3" t="s">
        <v>82</v>
      </c>
      <c r="J299" s="3" t="s">
        <v>34</v>
      </c>
      <c r="K299" s="3"/>
      <c r="L299" s="3"/>
      <c r="M299" s="3"/>
      <c r="N299" s="3" t="s">
        <v>35</v>
      </c>
      <c r="O299" s="3" t="s">
        <v>36</v>
      </c>
      <c r="P299" s="4">
        <v>45901.664421296293</v>
      </c>
      <c r="Q299" s="3">
        <v>7777777</v>
      </c>
      <c r="R299" s="3" t="s">
        <v>37</v>
      </c>
      <c r="S299" s="3"/>
      <c r="T299" s="3"/>
      <c r="U299" s="5" t="s">
        <v>38</v>
      </c>
      <c r="V299" s="3"/>
      <c r="W299" s="3" t="s">
        <v>60</v>
      </c>
      <c r="X299" s="3" t="s">
        <v>41</v>
      </c>
      <c r="Y299" s="3" t="s">
        <v>41</v>
      </c>
      <c r="Z299" s="3" t="s">
        <v>42</v>
      </c>
      <c r="AA299" s="3" t="s">
        <v>49</v>
      </c>
      <c r="AB299" s="3" t="s">
        <v>40</v>
      </c>
      <c r="AC299">
        <f>IFERROR(VLOOKUP(C299,MigradosEfectivamente!B:B,1,FALSE),"No encontrado")</f>
        <v>5489941</v>
      </c>
    </row>
    <row r="300" spans="1:29" ht="45" x14ac:dyDescent="0.25">
      <c r="A300" s="3" t="s">
        <v>1176</v>
      </c>
      <c r="B300" s="3" t="s">
        <v>1177</v>
      </c>
      <c r="C300" s="3">
        <v>1098750282</v>
      </c>
      <c r="D300" s="3" t="s">
        <v>104</v>
      </c>
      <c r="E300" s="3">
        <v>3248033177</v>
      </c>
      <c r="F300" s="3" t="s">
        <v>268</v>
      </c>
      <c r="G300" s="3">
        <v>89</v>
      </c>
      <c r="H300" s="3" t="s">
        <v>48</v>
      </c>
      <c r="I300" s="3" t="s">
        <v>33</v>
      </c>
      <c r="J300" s="3" t="s">
        <v>34</v>
      </c>
      <c r="K300" s="3"/>
      <c r="L300" s="3"/>
      <c r="M300" s="3"/>
      <c r="N300" s="3" t="s">
        <v>35</v>
      </c>
      <c r="O300" s="3" t="s">
        <v>36</v>
      </c>
      <c r="P300" s="4">
        <v>45901.664421296293</v>
      </c>
      <c r="Q300" s="3">
        <v>7777777</v>
      </c>
      <c r="R300" s="3" t="s">
        <v>37</v>
      </c>
      <c r="S300" s="3"/>
      <c r="T300" s="3"/>
      <c r="U300" s="5" t="s">
        <v>38</v>
      </c>
      <c r="V300" s="3"/>
      <c r="W300" s="3" t="s">
        <v>39</v>
      </c>
      <c r="X300" s="3" t="s">
        <v>41</v>
      </c>
      <c r="Y300" s="3" t="s">
        <v>41</v>
      </c>
      <c r="Z300" s="3" t="s">
        <v>70</v>
      </c>
      <c r="AA300" s="3" t="s">
        <v>49</v>
      </c>
      <c r="AB300" s="3" t="s">
        <v>41</v>
      </c>
      <c r="AC300">
        <f>IFERROR(VLOOKUP(C300,MigradosEfectivamente!B:B,1,FALSE),"No encontrado")</f>
        <v>1098750282</v>
      </c>
    </row>
    <row r="301" spans="1:29" ht="45" x14ac:dyDescent="0.25">
      <c r="A301" s="3" t="s">
        <v>1178</v>
      </c>
      <c r="B301" s="3" t="s">
        <v>1179</v>
      </c>
      <c r="C301" s="3">
        <v>1102726114</v>
      </c>
      <c r="D301" s="3" t="s">
        <v>1180</v>
      </c>
      <c r="E301" s="3" t="s">
        <v>1181</v>
      </c>
      <c r="F301" s="3" t="s">
        <v>1182</v>
      </c>
      <c r="G301" s="3">
        <v>99</v>
      </c>
      <c r="H301" s="3" t="s">
        <v>32</v>
      </c>
      <c r="I301" s="3" t="s">
        <v>82</v>
      </c>
      <c r="J301" s="3" t="s">
        <v>34</v>
      </c>
      <c r="K301" s="3"/>
      <c r="L301" s="3"/>
      <c r="M301" s="3"/>
      <c r="N301" s="3" t="s">
        <v>35</v>
      </c>
      <c r="O301" s="3" t="s">
        <v>83</v>
      </c>
      <c r="P301" s="4">
        <v>45901.664421296293</v>
      </c>
      <c r="Q301" s="3">
        <v>7777777</v>
      </c>
      <c r="R301" s="3" t="s">
        <v>37</v>
      </c>
      <c r="S301" s="3"/>
      <c r="T301" s="3"/>
      <c r="U301" s="5" t="s">
        <v>38</v>
      </c>
      <c r="V301" s="3"/>
      <c r="W301" s="3" t="s">
        <v>39</v>
      </c>
      <c r="X301" s="3" t="s">
        <v>41</v>
      </c>
      <c r="Y301" s="3" t="s">
        <v>41</v>
      </c>
      <c r="Z301" s="3" t="s">
        <v>42</v>
      </c>
      <c r="AA301" s="3" t="s">
        <v>49</v>
      </c>
      <c r="AB301" s="3" t="s">
        <v>40</v>
      </c>
      <c r="AC301">
        <f>IFERROR(VLOOKUP(C301,MigradosEfectivamente!B:B,1,FALSE),"No encontrado")</f>
        <v>1102726114</v>
      </c>
    </row>
    <row r="302" spans="1:29" ht="45" x14ac:dyDescent="0.25">
      <c r="A302" s="3" t="s">
        <v>1183</v>
      </c>
      <c r="B302" s="3" t="s">
        <v>1184</v>
      </c>
      <c r="C302" s="3">
        <v>1036251707</v>
      </c>
      <c r="D302" s="3" t="s">
        <v>169</v>
      </c>
      <c r="E302" s="3">
        <v>3115054813</v>
      </c>
      <c r="F302" s="3" t="s">
        <v>1185</v>
      </c>
      <c r="G302" s="3">
        <v>89</v>
      </c>
      <c r="H302" s="3" t="s">
        <v>48</v>
      </c>
      <c r="I302" s="3" t="s">
        <v>33</v>
      </c>
      <c r="J302" s="3" t="s">
        <v>34</v>
      </c>
      <c r="K302" s="3"/>
      <c r="L302" s="3"/>
      <c r="M302" s="3"/>
      <c r="N302" s="3" t="s">
        <v>35</v>
      </c>
      <c r="O302" s="3" t="s">
        <v>36</v>
      </c>
      <c r="P302" s="4">
        <v>45901.664421296293</v>
      </c>
      <c r="Q302" s="3">
        <v>7777777</v>
      </c>
      <c r="R302" s="3" t="s">
        <v>37</v>
      </c>
      <c r="S302" s="3"/>
      <c r="T302" s="3"/>
      <c r="U302" s="5" t="s">
        <v>38</v>
      </c>
      <c r="V302" s="3"/>
      <c r="W302" s="3" t="s">
        <v>39</v>
      </c>
      <c r="X302" s="3" t="s">
        <v>41</v>
      </c>
      <c r="Y302" s="3" t="s">
        <v>41</v>
      </c>
      <c r="Z302" s="3" t="s">
        <v>92</v>
      </c>
      <c r="AA302" s="3" t="s">
        <v>49</v>
      </c>
      <c r="AB302" s="3" t="s">
        <v>40</v>
      </c>
      <c r="AC302">
        <f>IFERROR(VLOOKUP(C302,MigradosEfectivamente!B:B,1,FALSE),"No encontrado")</f>
        <v>1036251707</v>
      </c>
    </row>
    <row r="303" spans="1:29" ht="60" x14ac:dyDescent="0.25">
      <c r="A303" s="3" t="s">
        <v>1186</v>
      </c>
      <c r="B303" s="3" t="s">
        <v>1187</v>
      </c>
      <c r="C303" s="3">
        <v>1115720619</v>
      </c>
      <c r="D303" s="3" t="s">
        <v>122</v>
      </c>
      <c r="E303" s="3">
        <v>3176783272</v>
      </c>
      <c r="F303" s="3" t="s">
        <v>1188</v>
      </c>
      <c r="G303" s="3">
        <v>89</v>
      </c>
      <c r="H303" s="3" t="s">
        <v>54</v>
      </c>
      <c r="I303" s="3" t="s">
        <v>33</v>
      </c>
      <c r="J303" s="3" t="s">
        <v>34</v>
      </c>
      <c r="K303" s="3"/>
      <c r="L303" s="3"/>
      <c r="M303" s="3"/>
      <c r="N303" s="3" t="s">
        <v>35</v>
      </c>
      <c r="O303" s="3" t="s">
        <v>36</v>
      </c>
      <c r="P303" s="4">
        <v>45901.664421296293</v>
      </c>
      <c r="Q303" s="3">
        <v>7777777</v>
      </c>
      <c r="R303" s="3" t="s">
        <v>37</v>
      </c>
      <c r="S303" s="3"/>
      <c r="T303" s="3"/>
      <c r="U303" s="5" t="s">
        <v>38</v>
      </c>
      <c r="V303" s="3"/>
      <c r="W303" s="3" t="s">
        <v>60</v>
      </c>
      <c r="X303" s="3" t="s">
        <v>41</v>
      </c>
      <c r="Y303" s="3" t="s">
        <v>41</v>
      </c>
      <c r="Z303" s="3" t="s">
        <v>42</v>
      </c>
      <c r="AA303" s="3" t="s">
        <v>49</v>
      </c>
      <c r="AB303" s="3" t="s">
        <v>40</v>
      </c>
      <c r="AC303">
        <f>IFERROR(VLOOKUP(C303,MigradosEfectivamente!B:B,1,FALSE),"No encontrado")</f>
        <v>1115720619</v>
      </c>
    </row>
    <row r="304" spans="1:29" ht="60" x14ac:dyDescent="0.25">
      <c r="A304" s="3" t="s">
        <v>1189</v>
      </c>
      <c r="B304" s="3" t="s">
        <v>1190</v>
      </c>
      <c r="C304" s="3">
        <v>1090532080</v>
      </c>
      <c r="D304" s="3" t="s">
        <v>1191</v>
      </c>
      <c r="E304" s="3" t="s">
        <v>1192</v>
      </c>
      <c r="F304" s="3" t="s">
        <v>234</v>
      </c>
      <c r="G304" s="3">
        <v>99</v>
      </c>
      <c r="H304" s="3" t="s">
        <v>69</v>
      </c>
      <c r="I304" s="3" t="s">
        <v>82</v>
      </c>
      <c r="J304" s="3" t="s">
        <v>34</v>
      </c>
      <c r="K304" s="3"/>
      <c r="L304" s="3"/>
      <c r="M304" s="3"/>
      <c r="N304" s="3" t="s">
        <v>35</v>
      </c>
      <c r="O304" s="3" t="s">
        <v>83</v>
      </c>
      <c r="P304" s="4">
        <v>45901.664421296293</v>
      </c>
      <c r="Q304" s="3">
        <v>7777777</v>
      </c>
      <c r="R304" s="3" t="s">
        <v>37</v>
      </c>
      <c r="S304" s="3"/>
      <c r="T304" s="3"/>
      <c r="U304" s="5" t="s">
        <v>38</v>
      </c>
      <c r="V304" s="3"/>
      <c r="W304" s="3" t="s">
        <v>60</v>
      </c>
      <c r="X304" s="3" t="s">
        <v>41</v>
      </c>
      <c r="Y304" s="3" t="s">
        <v>41</v>
      </c>
      <c r="Z304" s="3" t="s">
        <v>42</v>
      </c>
      <c r="AA304" s="3" t="s">
        <v>49</v>
      </c>
      <c r="AB304" s="3" t="s">
        <v>40</v>
      </c>
      <c r="AC304" t="str">
        <f>IFERROR(VLOOKUP(C304,MigradosEfectivamente!B:B,1,FALSE),"No encontrado")</f>
        <v>No encontrado</v>
      </c>
    </row>
    <row r="305" spans="1:29" ht="45" x14ac:dyDescent="0.25">
      <c r="A305" s="3" t="s">
        <v>1193</v>
      </c>
      <c r="B305" s="3" t="s">
        <v>1194</v>
      </c>
      <c r="C305" s="3">
        <v>1102811577</v>
      </c>
      <c r="D305" s="3" t="s">
        <v>1195</v>
      </c>
      <c r="E305" s="3">
        <v>3138480980</v>
      </c>
      <c r="F305" s="3" t="s">
        <v>1196</v>
      </c>
      <c r="G305" s="3">
        <v>89</v>
      </c>
      <c r="H305" s="3" t="s">
        <v>180</v>
      </c>
      <c r="I305" s="3" t="s">
        <v>33</v>
      </c>
      <c r="J305" s="3" t="s">
        <v>34</v>
      </c>
      <c r="K305" s="3"/>
      <c r="L305" s="3"/>
      <c r="M305" s="3"/>
      <c r="N305" s="3" t="s">
        <v>35</v>
      </c>
      <c r="O305" s="3" t="s">
        <v>36</v>
      </c>
      <c r="P305" s="4">
        <v>45901.664421296293</v>
      </c>
      <c r="Q305" s="3">
        <v>7777777</v>
      </c>
      <c r="R305" s="3" t="s">
        <v>37</v>
      </c>
      <c r="S305" s="3"/>
      <c r="T305" s="3"/>
      <c r="U305" s="5" t="s">
        <v>38</v>
      </c>
      <c r="V305" s="3"/>
      <c r="W305" s="3" t="s">
        <v>39</v>
      </c>
      <c r="X305" s="3" t="s">
        <v>41</v>
      </c>
      <c r="Y305" s="3" t="s">
        <v>41</v>
      </c>
      <c r="Z305" s="3" t="s">
        <v>70</v>
      </c>
      <c r="AA305" s="3" t="s">
        <v>49</v>
      </c>
      <c r="AB305" s="3" t="s">
        <v>40</v>
      </c>
      <c r="AC305" t="str">
        <f>IFERROR(VLOOKUP(C305,MigradosEfectivamente!B:B,1,FALSE),"No encontrado")</f>
        <v>No encontrado</v>
      </c>
    </row>
    <row r="306" spans="1:29" ht="45" x14ac:dyDescent="0.25">
      <c r="A306" s="3" t="s">
        <v>1197</v>
      </c>
      <c r="B306" s="3" t="s">
        <v>1198</v>
      </c>
      <c r="C306" s="3">
        <v>1090177991</v>
      </c>
      <c r="D306" s="3" t="s">
        <v>288</v>
      </c>
      <c r="E306" s="3">
        <v>3223275908</v>
      </c>
      <c r="F306" s="3" t="s">
        <v>1199</v>
      </c>
      <c r="G306" s="3">
        <v>99</v>
      </c>
      <c r="H306" s="3" t="s">
        <v>69</v>
      </c>
      <c r="I306" s="3" t="s">
        <v>82</v>
      </c>
      <c r="J306" s="3" t="s">
        <v>34</v>
      </c>
      <c r="K306" s="3"/>
      <c r="L306" s="3"/>
      <c r="M306" s="3"/>
      <c r="N306" s="3" t="s">
        <v>35</v>
      </c>
      <c r="O306" s="3" t="s">
        <v>83</v>
      </c>
      <c r="P306" s="4">
        <v>45901.664421296293</v>
      </c>
      <c r="Q306" s="3">
        <v>7777777</v>
      </c>
      <c r="R306" s="3" t="s">
        <v>37</v>
      </c>
      <c r="S306" s="3"/>
      <c r="T306" s="3"/>
      <c r="U306" s="5" t="s">
        <v>38</v>
      </c>
      <c r="V306" s="3"/>
      <c r="W306" s="3" t="s">
        <v>39</v>
      </c>
      <c r="X306" s="3" t="s">
        <v>41</v>
      </c>
      <c r="Y306" s="3" t="s">
        <v>41</v>
      </c>
      <c r="Z306" s="3" t="s">
        <v>92</v>
      </c>
      <c r="AA306" s="3" t="s">
        <v>49</v>
      </c>
      <c r="AB306" s="3" t="s">
        <v>41</v>
      </c>
      <c r="AC306" t="str">
        <f>IFERROR(VLOOKUP(C306,MigradosEfectivamente!B:B,1,FALSE),"No encontrado")</f>
        <v>No encontrado</v>
      </c>
    </row>
    <row r="307" spans="1:29" ht="45" x14ac:dyDescent="0.25">
      <c r="A307" s="3" t="s">
        <v>1200</v>
      </c>
      <c r="B307" s="3" t="s">
        <v>1201</v>
      </c>
      <c r="C307" s="3">
        <v>1093601418</v>
      </c>
      <c r="D307" s="3" t="s">
        <v>288</v>
      </c>
      <c r="E307" s="3">
        <v>3017358660</v>
      </c>
      <c r="F307" s="3" t="s">
        <v>1202</v>
      </c>
      <c r="G307" s="3">
        <v>89</v>
      </c>
      <c r="H307" s="3" t="s">
        <v>69</v>
      </c>
      <c r="I307" s="3" t="s">
        <v>33</v>
      </c>
      <c r="J307" s="3" t="s">
        <v>34</v>
      </c>
      <c r="K307" s="3"/>
      <c r="L307" s="3"/>
      <c r="M307" s="3"/>
      <c r="N307" s="3" t="s">
        <v>35</v>
      </c>
      <c r="O307" s="3" t="s">
        <v>36</v>
      </c>
      <c r="P307" s="4">
        <v>45901.664421296293</v>
      </c>
      <c r="Q307" s="3">
        <v>7777777</v>
      </c>
      <c r="R307" s="3" t="s">
        <v>37</v>
      </c>
      <c r="S307" s="3"/>
      <c r="T307" s="3"/>
      <c r="U307" s="5" t="s">
        <v>38</v>
      </c>
      <c r="V307" s="3"/>
      <c r="W307" s="3" t="s">
        <v>39</v>
      </c>
      <c r="X307" s="3" t="s">
        <v>40</v>
      </c>
      <c r="Y307" s="3" t="s">
        <v>41</v>
      </c>
      <c r="Z307" s="3" t="s">
        <v>42</v>
      </c>
      <c r="AA307" s="3" t="s">
        <v>49</v>
      </c>
      <c r="AB307" s="3" t="s">
        <v>40</v>
      </c>
      <c r="AC307" t="str">
        <f>IFERROR(VLOOKUP(C307,MigradosEfectivamente!B:B,1,FALSE),"No encontrado")</f>
        <v>No encontrado</v>
      </c>
    </row>
    <row r="308" spans="1:29" ht="45" x14ac:dyDescent="0.25">
      <c r="A308" s="3" t="s">
        <v>1203</v>
      </c>
      <c r="B308" s="3" t="s">
        <v>1204</v>
      </c>
      <c r="C308" s="3">
        <v>1102361869</v>
      </c>
      <c r="D308" s="3">
        <v>0</v>
      </c>
      <c r="E308" s="3">
        <v>3247655304</v>
      </c>
      <c r="F308" s="3" t="s">
        <v>1205</v>
      </c>
      <c r="G308" s="3">
        <v>89</v>
      </c>
      <c r="H308" s="3" t="s">
        <v>59</v>
      </c>
      <c r="I308" s="3" t="s">
        <v>33</v>
      </c>
      <c r="J308" s="3" t="s">
        <v>34</v>
      </c>
      <c r="K308" s="3"/>
      <c r="L308" s="3"/>
      <c r="M308" s="3"/>
      <c r="N308" s="3" t="s">
        <v>35</v>
      </c>
      <c r="O308" s="3" t="s">
        <v>36</v>
      </c>
      <c r="P308" s="4">
        <v>45901.664421296293</v>
      </c>
      <c r="Q308" s="3">
        <v>7777777</v>
      </c>
      <c r="R308" s="3" t="s">
        <v>37</v>
      </c>
      <c r="S308" s="3"/>
      <c r="T308" s="3"/>
      <c r="U308" s="5" t="s">
        <v>38</v>
      </c>
      <c r="V308" s="3"/>
      <c r="W308" s="3" t="s">
        <v>39</v>
      </c>
      <c r="X308" s="3" t="s">
        <v>41</v>
      </c>
      <c r="Y308" s="3" t="s">
        <v>41</v>
      </c>
      <c r="Z308" s="3" t="s">
        <v>70</v>
      </c>
      <c r="AA308" s="3" t="s">
        <v>49</v>
      </c>
      <c r="AB308" s="3" t="s">
        <v>40</v>
      </c>
      <c r="AC308">
        <f>IFERROR(VLOOKUP(C308,MigradosEfectivamente!B:B,1,FALSE),"No encontrado")</f>
        <v>1102361869</v>
      </c>
    </row>
    <row r="309" spans="1:29" ht="45" x14ac:dyDescent="0.25">
      <c r="A309" s="3" t="s">
        <v>1206</v>
      </c>
      <c r="B309" s="3" t="s">
        <v>1207</v>
      </c>
      <c r="C309" s="3">
        <v>1095811841</v>
      </c>
      <c r="D309" s="3" t="s">
        <v>1208</v>
      </c>
      <c r="E309" s="3">
        <v>3143907247</v>
      </c>
      <c r="F309" s="3" t="s">
        <v>1209</v>
      </c>
      <c r="G309" s="3">
        <v>89</v>
      </c>
      <c r="H309" s="3" t="s">
        <v>180</v>
      </c>
      <c r="I309" s="3" t="s">
        <v>33</v>
      </c>
      <c r="J309" s="3" t="s">
        <v>34</v>
      </c>
      <c r="K309" s="3"/>
      <c r="L309" s="3"/>
      <c r="M309" s="3"/>
      <c r="N309" s="3" t="s">
        <v>35</v>
      </c>
      <c r="O309" s="3" t="s">
        <v>36</v>
      </c>
      <c r="P309" s="4">
        <v>45901.664421296293</v>
      </c>
      <c r="Q309" s="3">
        <v>7777777</v>
      </c>
      <c r="R309" s="3" t="s">
        <v>37</v>
      </c>
      <c r="S309" s="3"/>
      <c r="T309" s="3"/>
      <c r="U309" s="5" t="s">
        <v>38</v>
      </c>
      <c r="V309" s="3"/>
      <c r="W309" s="3" t="s">
        <v>39</v>
      </c>
      <c r="X309" s="3" t="s">
        <v>40</v>
      </c>
      <c r="Y309" s="3" t="s">
        <v>41</v>
      </c>
      <c r="Z309" s="3" t="s">
        <v>70</v>
      </c>
      <c r="AA309" s="3" t="s">
        <v>49</v>
      </c>
      <c r="AB309" s="3" t="s">
        <v>40</v>
      </c>
      <c r="AC309" t="str">
        <f>IFERROR(VLOOKUP(C309,MigradosEfectivamente!B:B,1,FALSE),"No encontrado")</f>
        <v>No encontrado</v>
      </c>
    </row>
    <row r="310" spans="1:29" ht="45" x14ac:dyDescent="0.25">
      <c r="A310" s="3" t="s">
        <v>1210</v>
      </c>
      <c r="B310" s="3" t="s">
        <v>1211</v>
      </c>
      <c r="C310" s="3">
        <v>1095832295</v>
      </c>
      <c r="D310" s="3" t="s">
        <v>1212</v>
      </c>
      <c r="E310" s="3">
        <v>3212189397</v>
      </c>
      <c r="F310" s="3" t="s">
        <v>1213</v>
      </c>
      <c r="G310" s="3">
        <v>89</v>
      </c>
      <c r="H310" s="3" t="s">
        <v>180</v>
      </c>
      <c r="I310" s="3" t="s">
        <v>33</v>
      </c>
      <c r="J310" s="3" t="s">
        <v>34</v>
      </c>
      <c r="K310" s="3"/>
      <c r="L310" s="3"/>
      <c r="M310" s="3"/>
      <c r="N310" s="3" t="s">
        <v>35</v>
      </c>
      <c r="O310" s="3" t="s">
        <v>36</v>
      </c>
      <c r="P310" s="4">
        <v>45901.664421296293</v>
      </c>
      <c r="Q310" s="3">
        <v>7777777</v>
      </c>
      <c r="R310" s="3" t="s">
        <v>37</v>
      </c>
      <c r="S310" s="3"/>
      <c r="T310" s="3"/>
      <c r="U310" s="5" t="s">
        <v>38</v>
      </c>
      <c r="V310" s="3"/>
      <c r="W310" s="3" t="s">
        <v>39</v>
      </c>
      <c r="X310" s="3" t="s">
        <v>41</v>
      </c>
      <c r="Y310" s="3" t="s">
        <v>41</v>
      </c>
      <c r="Z310" s="3" t="s">
        <v>70</v>
      </c>
      <c r="AA310" s="3" t="s">
        <v>49</v>
      </c>
      <c r="AB310" s="3" t="s">
        <v>40</v>
      </c>
      <c r="AC310">
        <f>IFERROR(VLOOKUP(C310,MigradosEfectivamente!B:B,1,FALSE),"No encontrado")</f>
        <v>1095832295</v>
      </c>
    </row>
    <row r="311" spans="1:29" ht="45" x14ac:dyDescent="0.25">
      <c r="A311" s="3" t="s">
        <v>1214</v>
      </c>
      <c r="B311" s="3" t="s">
        <v>1215</v>
      </c>
      <c r="C311" s="3">
        <v>91530590</v>
      </c>
      <c r="D311" s="3" t="s">
        <v>411</v>
      </c>
      <c r="E311" s="3">
        <v>3168303074</v>
      </c>
      <c r="F311" s="3" t="s">
        <v>1216</v>
      </c>
      <c r="G311" s="3">
        <v>89</v>
      </c>
      <c r="H311" s="3" t="s">
        <v>97</v>
      </c>
      <c r="I311" s="3" t="s">
        <v>33</v>
      </c>
      <c r="J311" s="3" t="s">
        <v>34</v>
      </c>
      <c r="K311" s="3"/>
      <c r="L311" s="3"/>
      <c r="M311" s="3"/>
      <c r="N311" s="3" t="s">
        <v>35</v>
      </c>
      <c r="O311" s="3" t="s">
        <v>36</v>
      </c>
      <c r="P311" s="4">
        <v>45901.470775462964</v>
      </c>
      <c r="Q311" s="3">
        <v>7777777</v>
      </c>
      <c r="R311" s="3" t="s">
        <v>37</v>
      </c>
      <c r="S311" s="3"/>
      <c r="T311" s="3"/>
      <c r="U311" s="5" t="s">
        <v>38</v>
      </c>
      <c r="V311" s="3"/>
      <c r="W311" s="3" t="s">
        <v>39</v>
      </c>
      <c r="X311" s="3" t="s">
        <v>40</v>
      </c>
      <c r="Y311" s="3" t="s">
        <v>41</v>
      </c>
      <c r="Z311" s="3" t="s">
        <v>70</v>
      </c>
      <c r="AA311" s="3" t="s">
        <v>49</v>
      </c>
      <c r="AB311" s="3" t="s">
        <v>41</v>
      </c>
      <c r="AC311" t="str">
        <f>IFERROR(VLOOKUP(C311,MigradosEfectivamente!B:B,1,FALSE),"No encontrado")</f>
        <v>No encontrado</v>
      </c>
    </row>
    <row r="312" spans="1:29" ht="45" x14ac:dyDescent="0.25">
      <c r="A312" s="3" t="s">
        <v>1217</v>
      </c>
      <c r="B312" s="3" t="s">
        <v>1218</v>
      </c>
      <c r="C312" s="3">
        <v>1098804234</v>
      </c>
      <c r="D312" s="3" t="s">
        <v>1219</v>
      </c>
      <c r="E312" s="3">
        <v>3172442099</v>
      </c>
      <c r="F312" s="3" t="s">
        <v>1220</v>
      </c>
      <c r="G312" s="3">
        <v>89</v>
      </c>
      <c r="H312" s="3" t="s">
        <v>48</v>
      </c>
      <c r="I312" s="3" t="s">
        <v>33</v>
      </c>
      <c r="J312" s="3" t="s">
        <v>34</v>
      </c>
      <c r="K312" s="3"/>
      <c r="L312" s="3"/>
      <c r="M312" s="3"/>
      <c r="N312" s="3" t="s">
        <v>35</v>
      </c>
      <c r="O312" s="3" t="s">
        <v>36</v>
      </c>
      <c r="P312" s="4">
        <v>45900.767812500002</v>
      </c>
      <c r="Q312" s="3">
        <v>7777777</v>
      </c>
      <c r="R312" s="3" t="s">
        <v>37</v>
      </c>
      <c r="S312" s="3"/>
      <c r="T312" s="3"/>
      <c r="U312" s="5" t="s">
        <v>38</v>
      </c>
      <c r="V312" s="3"/>
      <c r="W312" s="3" t="s">
        <v>39</v>
      </c>
      <c r="X312" s="3" t="s">
        <v>41</v>
      </c>
      <c r="Y312" s="3" t="s">
        <v>41</v>
      </c>
      <c r="Z312" s="3" t="s">
        <v>92</v>
      </c>
      <c r="AA312" s="3" t="s">
        <v>49</v>
      </c>
      <c r="AB312" s="3" t="s">
        <v>40</v>
      </c>
      <c r="AC312">
        <f>IFERROR(VLOOKUP(C312,MigradosEfectivamente!B:B,1,FALSE),"No encontrado")</f>
        <v>1098804234</v>
      </c>
    </row>
    <row r="313" spans="1:29" ht="60" x14ac:dyDescent="0.25">
      <c r="A313" s="3" t="s">
        <v>1221</v>
      </c>
      <c r="B313" s="3" t="s">
        <v>1222</v>
      </c>
      <c r="C313" s="3">
        <v>1005235289</v>
      </c>
      <c r="D313" s="3" t="s">
        <v>1223</v>
      </c>
      <c r="E313" s="3">
        <v>3204542318</v>
      </c>
      <c r="F313" s="3" t="s">
        <v>1224</v>
      </c>
      <c r="G313" s="3">
        <v>89</v>
      </c>
      <c r="H313" s="3" t="s">
        <v>110</v>
      </c>
      <c r="I313" s="3" t="s">
        <v>82</v>
      </c>
      <c r="J313" s="3" t="s">
        <v>34</v>
      </c>
      <c r="K313" s="3"/>
      <c r="L313" s="3"/>
      <c r="M313" s="3"/>
      <c r="N313" s="3" t="s">
        <v>35</v>
      </c>
      <c r="O313" s="3" t="s">
        <v>36</v>
      </c>
      <c r="P313" s="4">
        <v>45900.767812500002</v>
      </c>
      <c r="Q313" s="3">
        <v>7777777</v>
      </c>
      <c r="R313" s="3" t="s">
        <v>37</v>
      </c>
      <c r="S313" s="3"/>
      <c r="T313" s="3"/>
      <c r="U313" s="5" t="s">
        <v>38</v>
      </c>
      <c r="V313" s="3"/>
      <c r="W313" s="3" t="s">
        <v>60</v>
      </c>
      <c r="X313" s="3" t="s">
        <v>41</v>
      </c>
      <c r="Y313" s="3" t="s">
        <v>41</v>
      </c>
      <c r="Z313" s="3" t="s">
        <v>42</v>
      </c>
      <c r="AA313" s="3" t="s">
        <v>49</v>
      </c>
      <c r="AB313" s="3" t="s">
        <v>40</v>
      </c>
      <c r="AC313">
        <f>IFERROR(VLOOKUP(C313,MigradosEfectivamente!B:B,1,FALSE),"No encontrado")</f>
        <v>1005235289</v>
      </c>
    </row>
    <row r="314" spans="1:29" ht="60" x14ac:dyDescent="0.25">
      <c r="A314" s="3">
        <v>23006</v>
      </c>
      <c r="B314" s="3" t="s">
        <v>1225</v>
      </c>
      <c r="C314" s="3">
        <v>1098803789</v>
      </c>
      <c r="D314" s="3" t="s">
        <v>59</v>
      </c>
      <c r="E314" s="3">
        <v>3042026707</v>
      </c>
      <c r="F314" s="3" t="s">
        <v>1226</v>
      </c>
      <c r="G314" s="3">
        <v>89</v>
      </c>
      <c r="H314" s="3" t="s">
        <v>269</v>
      </c>
      <c r="I314" s="3" t="s">
        <v>33</v>
      </c>
      <c r="J314" s="3" t="s">
        <v>34</v>
      </c>
      <c r="K314" s="3"/>
      <c r="L314" s="3"/>
      <c r="M314" s="3"/>
      <c r="N314" s="3" t="s">
        <v>35</v>
      </c>
      <c r="O314" s="3" t="s">
        <v>36</v>
      </c>
      <c r="P314" s="4">
        <v>45900.767812500002</v>
      </c>
      <c r="Q314" s="3">
        <v>7777777</v>
      </c>
      <c r="R314" s="3" t="s">
        <v>37</v>
      </c>
      <c r="S314" s="3"/>
      <c r="T314" s="3"/>
      <c r="U314" s="5" t="s">
        <v>38</v>
      </c>
      <c r="V314" s="3"/>
      <c r="W314" s="3" t="s">
        <v>60</v>
      </c>
      <c r="X314" s="3" t="s">
        <v>40</v>
      </c>
      <c r="Y314" s="3" t="s">
        <v>41</v>
      </c>
      <c r="Z314" s="3" t="s">
        <v>42</v>
      </c>
      <c r="AA314" s="3" t="s">
        <v>49</v>
      </c>
      <c r="AB314" s="3" t="s">
        <v>40</v>
      </c>
      <c r="AC314" t="str">
        <f>IFERROR(VLOOKUP(C314,MigradosEfectivamente!B:B,1,FALSE),"No encontrado")</f>
        <v>No encontrado</v>
      </c>
    </row>
    <row r="315" spans="1:29" ht="45" x14ac:dyDescent="0.25">
      <c r="A315" s="3" t="s">
        <v>1227</v>
      </c>
      <c r="B315" s="3" t="s">
        <v>1228</v>
      </c>
      <c r="C315" s="3">
        <v>1096245956</v>
      </c>
      <c r="D315" s="3" t="s">
        <v>46</v>
      </c>
      <c r="E315" s="3">
        <v>3208524555</v>
      </c>
      <c r="F315" s="3" t="s">
        <v>1229</v>
      </c>
      <c r="G315" s="3">
        <v>89</v>
      </c>
      <c r="H315" s="3" t="s">
        <v>48</v>
      </c>
      <c r="I315" s="3" t="s">
        <v>33</v>
      </c>
      <c r="J315" s="3" t="s">
        <v>34</v>
      </c>
      <c r="K315" s="3"/>
      <c r="L315" s="3"/>
      <c r="M315" s="3"/>
      <c r="N315" s="3" t="s">
        <v>35</v>
      </c>
      <c r="O315" s="3" t="s">
        <v>36</v>
      </c>
      <c r="P315" s="4">
        <v>45900.767812500002</v>
      </c>
      <c r="Q315" s="3">
        <v>7777777</v>
      </c>
      <c r="R315" s="3" t="s">
        <v>37</v>
      </c>
      <c r="S315" s="3"/>
      <c r="T315" s="3"/>
      <c r="U315" s="5" t="s">
        <v>38</v>
      </c>
      <c r="V315" s="3"/>
      <c r="W315" s="3" t="s">
        <v>39</v>
      </c>
      <c r="X315" s="3" t="s">
        <v>41</v>
      </c>
      <c r="Y315" s="3" t="s">
        <v>41</v>
      </c>
      <c r="Z315" s="3" t="s">
        <v>70</v>
      </c>
      <c r="AA315" s="3" t="s">
        <v>49</v>
      </c>
      <c r="AB315" s="3" t="s">
        <v>40</v>
      </c>
      <c r="AC315">
        <f>IFERROR(VLOOKUP(C315,MigradosEfectivamente!B:B,1,FALSE),"No encontrado")</f>
        <v>1096245956</v>
      </c>
    </row>
    <row r="316" spans="1:29" ht="60" x14ac:dyDescent="0.25">
      <c r="A316" s="3" t="s">
        <v>1230</v>
      </c>
      <c r="B316" s="3" t="s">
        <v>1231</v>
      </c>
      <c r="C316" s="3">
        <v>5088153</v>
      </c>
      <c r="D316" s="3" t="s">
        <v>108</v>
      </c>
      <c r="E316" s="3">
        <v>3219507421</v>
      </c>
      <c r="F316" s="3" t="s">
        <v>1232</v>
      </c>
      <c r="G316" s="3">
        <v>89</v>
      </c>
      <c r="H316" s="3" t="s">
        <v>110</v>
      </c>
      <c r="I316" s="3" t="s">
        <v>33</v>
      </c>
      <c r="J316" s="3" t="s">
        <v>34</v>
      </c>
      <c r="K316" s="3"/>
      <c r="L316" s="3"/>
      <c r="M316" s="3"/>
      <c r="N316" s="3" t="s">
        <v>35</v>
      </c>
      <c r="O316" s="3" t="s">
        <v>36</v>
      </c>
      <c r="P316" s="4">
        <v>45900.767812500002</v>
      </c>
      <c r="Q316" s="3">
        <v>7777777</v>
      </c>
      <c r="R316" s="3" t="s">
        <v>37</v>
      </c>
      <c r="S316" s="3"/>
      <c r="T316" s="3"/>
      <c r="U316" s="5" t="s">
        <v>38</v>
      </c>
      <c r="V316" s="3"/>
      <c r="W316" s="3" t="s">
        <v>60</v>
      </c>
      <c r="X316" s="3" t="s">
        <v>41</v>
      </c>
      <c r="Y316" s="3" t="s">
        <v>41</v>
      </c>
      <c r="Z316" s="3" t="s">
        <v>42</v>
      </c>
      <c r="AA316" s="3" t="s">
        <v>49</v>
      </c>
      <c r="AB316" s="3" t="s">
        <v>40</v>
      </c>
      <c r="AC316">
        <f>IFERROR(VLOOKUP(C316,MigradosEfectivamente!B:B,1,FALSE),"No encontrado")</f>
        <v>5088153</v>
      </c>
    </row>
    <row r="317" spans="1:29" ht="60" x14ac:dyDescent="0.25">
      <c r="A317" s="3" t="s">
        <v>1233</v>
      </c>
      <c r="B317" s="3" t="s">
        <v>1234</v>
      </c>
      <c r="C317" s="3">
        <v>1090512042</v>
      </c>
      <c r="D317" s="3" t="s">
        <v>1235</v>
      </c>
      <c r="E317" s="3">
        <v>3017087290</v>
      </c>
      <c r="F317" s="3" t="s">
        <v>1236</v>
      </c>
      <c r="G317" s="3">
        <v>89</v>
      </c>
      <c r="H317" s="3" t="s">
        <v>69</v>
      </c>
      <c r="I317" s="3" t="s">
        <v>82</v>
      </c>
      <c r="J317" s="3" t="s">
        <v>34</v>
      </c>
      <c r="K317" s="3"/>
      <c r="L317" s="3"/>
      <c r="M317" s="3"/>
      <c r="N317" s="3" t="s">
        <v>35</v>
      </c>
      <c r="O317" s="3" t="s">
        <v>36</v>
      </c>
      <c r="P317" s="4">
        <v>45900.767812500002</v>
      </c>
      <c r="Q317" s="3">
        <v>7777777</v>
      </c>
      <c r="R317" s="3" t="s">
        <v>37</v>
      </c>
      <c r="S317" s="3"/>
      <c r="T317" s="3"/>
      <c r="U317" s="5" t="s">
        <v>38</v>
      </c>
      <c r="V317" s="3"/>
      <c r="W317" s="3" t="s">
        <v>60</v>
      </c>
      <c r="X317" s="3" t="s">
        <v>41</v>
      </c>
      <c r="Y317" s="3" t="s">
        <v>41</v>
      </c>
      <c r="Z317" s="3" t="s">
        <v>42</v>
      </c>
      <c r="AA317" s="3" t="s">
        <v>49</v>
      </c>
      <c r="AB317" s="3" t="s">
        <v>40</v>
      </c>
      <c r="AC317" t="str">
        <f>IFERROR(VLOOKUP(C317,MigradosEfectivamente!B:B,1,FALSE),"No encontrado")</f>
        <v>No encontrado</v>
      </c>
    </row>
    <row r="318" spans="1:29" ht="45" x14ac:dyDescent="0.25">
      <c r="A318" s="3" t="s">
        <v>1237</v>
      </c>
      <c r="B318" s="3" t="s">
        <v>1238</v>
      </c>
      <c r="C318" s="3">
        <v>1092531661</v>
      </c>
      <c r="D318" s="3" t="s">
        <v>288</v>
      </c>
      <c r="E318" s="3">
        <v>3162964422</v>
      </c>
      <c r="F318" s="3" t="s">
        <v>1239</v>
      </c>
      <c r="G318" s="3">
        <v>89</v>
      </c>
      <c r="H318" s="3" t="s">
        <v>136</v>
      </c>
      <c r="I318" s="3" t="s">
        <v>33</v>
      </c>
      <c r="J318" s="3" t="s">
        <v>34</v>
      </c>
      <c r="K318" s="3"/>
      <c r="L318" s="3"/>
      <c r="M318" s="3"/>
      <c r="N318" s="3" t="s">
        <v>35</v>
      </c>
      <c r="O318" s="3" t="s">
        <v>36</v>
      </c>
      <c r="P318" s="4">
        <v>45900.767812500002</v>
      </c>
      <c r="Q318" s="3">
        <v>7777777</v>
      </c>
      <c r="R318" s="3" t="s">
        <v>37</v>
      </c>
      <c r="S318" s="3"/>
      <c r="T318" s="3"/>
      <c r="U318" s="5" t="s">
        <v>38</v>
      </c>
      <c r="V318" s="3"/>
      <c r="W318" s="3" t="s">
        <v>39</v>
      </c>
      <c r="X318" s="3" t="s">
        <v>41</v>
      </c>
      <c r="Y318" s="3" t="s">
        <v>41</v>
      </c>
      <c r="Z318" s="3" t="s">
        <v>70</v>
      </c>
      <c r="AA318" s="3" t="s">
        <v>49</v>
      </c>
      <c r="AB318" s="3" t="s">
        <v>41</v>
      </c>
      <c r="AC318">
        <f>IFERROR(VLOOKUP(C318,MigradosEfectivamente!B:B,1,FALSE),"No encontrado")</f>
        <v>1092531661</v>
      </c>
    </row>
    <row r="319" spans="1:29" ht="60" x14ac:dyDescent="0.25">
      <c r="A319" s="3">
        <v>23005</v>
      </c>
      <c r="B319" s="3" t="s">
        <v>1240</v>
      </c>
      <c r="C319" s="3">
        <v>1093798642</v>
      </c>
      <c r="D319" s="3" t="s">
        <v>57</v>
      </c>
      <c r="E319" s="3">
        <v>3122191882</v>
      </c>
      <c r="F319" s="3" t="s">
        <v>1241</v>
      </c>
      <c r="G319" s="3">
        <v>99</v>
      </c>
      <c r="H319" s="3" t="s">
        <v>269</v>
      </c>
      <c r="I319" s="3" t="s">
        <v>82</v>
      </c>
      <c r="J319" s="3" t="s">
        <v>34</v>
      </c>
      <c r="K319" s="3"/>
      <c r="L319" s="3"/>
      <c r="M319" s="3"/>
      <c r="N319" s="3" t="s">
        <v>35</v>
      </c>
      <c r="O319" s="3" t="s">
        <v>83</v>
      </c>
      <c r="P319" s="4">
        <v>45900.767812500002</v>
      </c>
      <c r="Q319" s="3">
        <v>7777777</v>
      </c>
      <c r="R319" s="3" t="s">
        <v>37</v>
      </c>
      <c r="S319" s="3"/>
      <c r="T319" s="3"/>
      <c r="U319" s="5" t="s">
        <v>38</v>
      </c>
      <c r="V319" s="3"/>
      <c r="W319" s="3" t="s">
        <v>60</v>
      </c>
      <c r="X319" s="3" t="s">
        <v>40</v>
      </c>
      <c r="Y319" s="3" t="s">
        <v>41</v>
      </c>
      <c r="Z319" s="3" t="s">
        <v>42</v>
      </c>
      <c r="AA319" s="3" t="s">
        <v>49</v>
      </c>
      <c r="AB319" s="3" t="s">
        <v>40</v>
      </c>
      <c r="AC319" t="str">
        <f>IFERROR(VLOOKUP(C319,MigradosEfectivamente!B:B,1,FALSE),"No encontrado")</f>
        <v>No encontrado</v>
      </c>
    </row>
    <row r="320" spans="1:29" ht="45" x14ac:dyDescent="0.25">
      <c r="A320" s="3" t="s">
        <v>1242</v>
      </c>
      <c r="B320" s="3" t="s">
        <v>1243</v>
      </c>
      <c r="C320" s="3">
        <v>1004924999</v>
      </c>
      <c r="D320" s="3" t="s">
        <v>1244</v>
      </c>
      <c r="E320" s="3">
        <v>3144637499</v>
      </c>
      <c r="F320" s="3" t="s">
        <v>268</v>
      </c>
      <c r="G320" s="3">
        <v>89</v>
      </c>
      <c r="H320" s="3" t="s">
        <v>69</v>
      </c>
      <c r="I320" s="3" t="s">
        <v>33</v>
      </c>
      <c r="J320" s="3" t="s">
        <v>34</v>
      </c>
      <c r="K320" s="3"/>
      <c r="L320" s="3"/>
      <c r="M320" s="3"/>
      <c r="N320" s="3" t="s">
        <v>35</v>
      </c>
      <c r="O320" s="3" t="s">
        <v>36</v>
      </c>
      <c r="P320" s="4">
        <v>45900.767812500002</v>
      </c>
      <c r="Q320" s="3">
        <v>7777777</v>
      </c>
      <c r="R320" s="3" t="s">
        <v>37</v>
      </c>
      <c r="S320" s="3"/>
      <c r="T320" s="3"/>
      <c r="U320" s="5" t="s">
        <v>38</v>
      </c>
      <c r="V320" s="3"/>
      <c r="W320" s="3" t="s">
        <v>39</v>
      </c>
      <c r="X320" s="3" t="s">
        <v>41</v>
      </c>
      <c r="Y320" s="3" t="s">
        <v>40</v>
      </c>
      <c r="Z320" s="3" t="s">
        <v>42</v>
      </c>
      <c r="AA320" s="3" t="s">
        <v>49</v>
      </c>
      <c r="AB320" s="3" t="s">
        <v>40</v>
      </c>
      <c r="AC320">
        <f>IFERROR(VLOOKUP(C320,MigradosEfectivamente!B:B,1,FALSE),"No encontrado")</f>
        <v>1004924999</v>
      </c>
    </row>
    <row r="321" spans="1:29" ht="60" x14ac:dyDescent="0.25">
      <c r="A321" s="3" t="s">
        <v>1245</v>
      </c>
      <c r="B321" s="3" t="s">
        <v>1246</v>
      </c>
      <c r="C321" s="3">
        <v>1098692433</v>
      </c>
      <c r="D321" s="3" t="s">
        <v>1247</v>
      </c>
      <c r="E321" s="3">
        <v>3508594440</v>
      </c>
      <c r="F321" s="3" t="s">
        <v>1248</v>
      </c>
      <c r="G321" s="3">
        <v>89</v>
      </c>
      <c r="H321" s="3" t="s">
        <v>110</v>
      </c>
      <c r="I321" s="3" t="s">
        <v>33</v>
      </c>
      <c r="J321" s="3" t="s">
        <v>34</v>
      </c>
      <c r="K321" s="3"/>
      <c r="L321" s="3"/>
      <c r="M321" s="3"/>
      <c r="N321" s="3" t="s">
        <v>35</v>
      </c>
      <c r="O321" s="3" t="s">
        <v>36</v>
      </c>
      <c r="P321" s="4">
        <v>45900.767812500002</v>
      </c>
      <c r="Q321" s="3">
        <v>7777777</v>
      </c>
      <c r="R321" s="3" t="s">
        <v>37</v>
      </c>
      <c r="S321" s="3"/>
      <c r="T321" s="3"/>
      <c r="U321" s="5" t="s">
        <v>38</v>
      </c>
      <c r="V321" s="3"/>
      <c r="W321" s="3" t="s">
        <v>60</v>
      </c>
      <c r="X321" s="3" t="s">
        <v>40</v>
      </c>
      <c r="Y321" s="3" t="s">
        <v>40</v>
      </c>
      <c r="Z321" s="3" t="s">
        <v>42</v>
      </c>
      <c r="AA321" s="3" t="s">
        <v>49</v>
      </c>
      <c r="AB321" s="3" t="s">
        <v>40</v>
      </c>
      <c r="AC321" t="str">
        <f>IFERROR(VLOOKUP(C321,MigradosEfectivamente!B:B,1,FALSE),"No encontrado")</f>
        <v>No encontrado</v>
      </c>
    </row>
    <row r="322" spans="1:29" ht="60" x14ac:dyDescent="0.25">
      <c r="A322" s="3" t="s">
        <v>1249</v>
      </c>
      <c r="B322" s="3" t="s">
        <v>1250</v>
      </c>
      <c r="C322" s="3">
        <v>1095838397</v>
      </c>
      <c r="D322" s="3" t="s">
        <v>169</v>
      </c>
      <c r="E322" s="3">
        <v>3104902833</v>
      </c>
      <c r="F322" s="3" t="s">
        <v>1251</v>
      </c>
      <c r="G322" s="3">
        <v>99</v>
      </c>
      <c r="H322" s="3" t="s">
        <v>180</v>
      </c>
      <c r="I322" s="3" t="s">
        <v>82</v>
      </c>
      <c r="J322" s="3" t="s">
        <v>34</v>
      </c>
      <c r="K322" s="3"/>
      <c r="L322" s="3"/>
      <c r="M322" s="3"/>
      <c r="N322" s="3" t="s">
        <v>35</v>
      </c>
      <c r="O322" s="3" t="s">
        <v>83</v>
      </c>
      <c r="P322" s="4">
        <v>45900.767812500002</v>
      </c>
      <c r="Q322" s="3">
        <v>7777777</v>
      </c>
      <c r="R322" s="3" t="s">
        <v>37</v>
      </c>
      <c r="S322" s="3"/>
      <c r="T322" s="3"/>
      <c r="U322" s="5" t="s">
        <v>38</v>
      </c>
      <c r="V322" s="3"/>
      <c r="W322" s="3" t="s">
        <v>60</v>
      </c>
      <c r="X322" s="3" t="s">
        <v>40</v>
      </c>
      <c r="Y322" s="3" t="s">
        <v>40</v>
      </c>
      <c r="Z322" s="3" t="s">
        <v>42</v>
      </c>
      <c r="AA322" s="3" t="s">
        <v>49</v>
      </c>
      <c r="AB322" s="3" t="s">
        <v>40</v>
      </c>
      <c r="AC322" t="str">
        <f>IFERROR(VLOOKUP(C322,MigradosEfectivamente!B:B,1,FALSE),"No encontrado")</f>
        <v>No encontrado</v>
      </c>
    </row>
    <row r="323" spans="1:29" ht="45" x14ac:dyDescent="0.25">
      <c r="A323" s="3" t="s">
        <v>1252</v>
      </c>
      <c r="B323" s="3" t="s">
        <v>1253</v>
      </c>
      <c r="C323" s="3">
        <v>1098757071</v>
      </c>
      <c r="D323" s="3" t="s">
        <v>1254</v>
      </c>
      <c r="E323" s="3">
        <v>3193296672</v>
      </c>
      <c r="F323" s="3" t="s">
        <v>1255</v>
      </c>
      <c r="G323" s="3">
        <v>89</v>
      </c>
      <c r="H323" s="3" t="s">
        <v>54</v>
      </c>
      <c r="I323" s="3" t="s">
        <v>33</v>
      </c>
      <c r="J323" s="3" t="s">
        <v>34</v>
      </c>
      <c r="K323" s="3"/>
      <c r="L323" s="3"/>
      <c r="M323" s="3"/>
      <c r="N323" s="3" t="s">
        <v>35</v>
      </c>
      <c r="O323" s="3" t="s">
        <v>36</v>
      </c>
      <c r="P323" s="4">
        <v>45899.535069444442</v>
      </c>
      <c r="Q323" s="3">
        <v>7777777</v>
      </c>
      <c r="R323" s="3" t="s">
        <v>37</v>
      </c>
      <c r="S323" s="3"/>
      <c r="T323" s="3"/>
      <c r="U323" s="5" t="s">
        <v>38</v>
      </c>
      <c r="V323" s="3"/>
      <c r="W323" s="3" t="s">
        <v>39</v>
      </c>
      <c r="X323" s="3" t="s">
        <v>40</v>
      </c>
      <c r="Y323" s="3" t="s">
        <v>40</v>
      </c>
      <c r="Z323" s="3" t="s">
        <v>92</v>
      </c>
      <c r="AA323" s="3" t="s">
        <v>49</v>
      </c>
      <c r="AB323" s="3" t="s">
        <v>40</v>
      </c>
      <c r="AC323" t="str">
        <f>IFERROR(VLOOKUP(C323,MigradosEfectivamente!B:B,1,FALSE),"No encontrado")</f>
        <v>No encontrado</v>
      </c>
    </row>
    <row r="324" spans="1:29" ht="45" x14ac:dyDescent="0.25">
      <c r="A324" s="3" t="s">
        <v>1256</v>
      </c>
      <c r="B324" s="3" t="s">
        <v>1257</v>
      </c>
      <c r="C324" s="3">
        <v>10957904511</v>
      </c>
      <c r="D324" s="3" t="s">
        <v>1195</v>
      </c>
      <c r="E324" s="3">
        <v>3222913096</v>
      </c>
      <c r="F324" s="3" t="s">
        <v>1258</v>
      </c>
      <c r="G324" s="3">
        <v>89</v>
      </c>
      <c r="H324" s="3" t="s">
        <v>110</v>
      </c>
      <c r="I324" s="3" t="s">
        <v>33</v>
      </c>
      <c r="J324" s="3" t="s">
        <v>34</v>
      </c>
      <c r="K324" s="3"/>
      <c r="L324" s="3"/>
      <c r="M324" s="3"/>
      <c r="N324" s="3" t="s">
        <v>35</v>
      </c>
      <c r="O324" s="3" t="s">
        <v>36</v>
      </c>
      <c r="P324" s="4">
        <v>45899.535069444442</v>
      </c>
      <c r="Q324" s="3">
        <v>7777777</v>
      </c>
      <c r="R324" s="3" t="s">
        <v>37</v>
      </c>
      <c r="S324" s="3"/>
      <c r="T324" s="3"/>
      <c r="U324" s="5" t="s">
        <v>38</v>
      </c>
      <c r="V324" s="3"/>
      <c r="W324" s="3" t="s">
        <v>39</v>
      </c>
      <c r="X324" s="3" t="s">
        <v>41</v>
      </c>
      <c r="Y324" s="3" t="s">
        <v>41</v>
      </c>
      <c r="Z324" s="3" t="s">
        <v>92</v>
      </c>
      <c r="AA324" s="3" t="s">
        <v>49</v>
      </c>
      <c r="AB324" s="3" t="s">
        <v>40</v>
      </c>
      <c r="AC324" t="str">
        <f>IFERROR(VLOOKUP(C324,MigradosEfectivamente!B:B,1,FALSE),"No encontrado")</f>
        <v>No encontrado</v>
      </c>
    </row>
    <row r="325" spans="1:29" ht="45" x14ac:dyDescent="0.25">
      <c r="A325" s="3" t="s">
        <v>1259</v>
      </c>
      <c r="B325" s="3" t="s">
        <v>1260</v>
      </c>
      <c r="C325" s="3">
        <v>1097784450</v>
      </c>
      <c r="D325" s="3" t="s">
        <v>1219</v>
      </c>
      <c r="E325" s="3" t="s">
        <v>1261</v>
      </c>
      <c r="F325" s="3" t="s">
        <v>1262</v>
      </c>
      <c r="G325" s="3">
        <v>89</v>
      </c>
      <c r="H325" s="3" t="s">
        <v>110</v>
      </c>
      <c r="I325" s="3" t="s">
        <v>33</v>
      </c>
      <c r="J325" s="3" t="s">
        <v>34</v>
      </c>
      <c r="K325" s="3"/>
      <c r="L325" s="3"/>
      <c r="M325" s="3"/>
      <c r="N325" s="3" t="s">
        <v>35</v>
      </c>
      <c r="O325" s="3" t="s">
        <v>36</v>
      </c>
      <c r="P325" s="4">
        <v>45899.535069444442</v>
      </c>
      <c r="Q325" s="3">
        <v>7777777</v>
      </c>
      <c r="R325" s="3" t="s">
        <v>37</v>
      </c>
      <c r="S325" s="3"/>
      <c r="T325" s="3"/>
      <c r="U325" s="5" t="s">
        <v>38</v>
      </c>
      <c r="V325" s="3"/>
      <c r="W325" s="3" t="s">
        <v>39</v>
      </c>
      <c r="X325" s="3" t="s">
        <v>41</v>
      </c>
      <c r="Y325" s="3" t="s">
        <v>41</v>
      </c>
      <c r="Z325" s="3" t="s">
        <v>70</v>
      </c>
      <c r="AA325" s="3" t="s">
        <v>49</v>
      </c>
      <c r="AB325" s="3" t="s">
        <v>41</v>
      </c>
      <c r="AC325">
        <f>IFERROR(VLOOKUP(C325,MigradosEfectivamente!B:B,1,FALSE),"No encontrado")</f>
        <v>1097784450</v>
      </c>
    </row>
    <row r="326" spans="1:29" ht="60" x14ac:dyDescent="0.25">
      <c r="A326" s="3" t="s">
        <v>1263</v>
      </c>
      <c r="B326" s="3" t="s">
        <v>1264</v>
      </c>
      <c r="C326" s="3">
        <v>6663923</v>
      </c>
      <c r="D326" s="3" t="s">
        <v>288</v>
      </c>
      <c r="E326" s="3">
        <v>3053622018</v>
      </c>
      <c r="F326" s="3" t="s">
        <v>1265</v>
      </c>
      <c r="G326" s="3">
        <v>89</v>
      </c>
      <c r="H326" s="3" t="s">
        <v>69</v>
      </c>
      <c r="I326" s="3" t="s">
        <v>82</v>
      </c>
      <c r="J326" s="3" t="s">
        <v>34</v>
      </c>
      <c r="K326" s="3"/>
      <c r="L326" s="3"/>
      <c r="M326" s="3"/>
      <c r="N326" s="3" t="s">
        <v>35</v>
      </c>
      <c r="O326" s="3" t="s">
        <v>36</v>
      </c>
      <c r="P326" s="4">
        <v>45899.535069444442</v>
      </c>
      <c r="Q326" s="3">
        <v>7777777</v>
      </c>
      <c r="R326" s="3" t="s">
        <v>37</v>
      </c>
      <c r="S326" s="3"/>
      <c r="T326" s="3"/>
      <c r="U326" s="5" t="s">
        <v>38</v>
      </c>
      <c r="V326" s="3"/>
      <c r="W326" s="3" t="s">
        <v>60</v>
      </c>
      <c r="X326" s="3" t="s">
        <v>41</v>
      </c>
      <c r="Y326" s="3" t="s">
        <v>41</v>
      </c>
      <c r="Z326" s="3" t="s">
        <v>42</v>
      </c>
      <c r="AA326" s="3" t="s">
        <v>49</v>
      </c>
      <c r="AB326" s="3" t="s">
        <v>40</v>
      </c>
      <c r="AC326" t="str">
        <f>IFERROR(VLOOKUP(C326,MigradosEfectivamente!B:B,1,FALSE),"No encontrado")</f>
        <v>No encontrado</v>
      </c>
    </row>
    <row r="327" spans="1:29" ht="45" x14ac:dyDescent="0.25">
      <c r="A327" s="3" t="s">
        <v>1266</v>
      </c>
      <c r="B327" s="3" t="s">
        <v>1267</v>
      </c>
      <c r="C327" s="3">
        <v>1076666956</v>
      </c>
      <c r="D327" s="3" t="s">
        <v>1268</v>
      </c>
      <c r="E327" s="3">
        <v>3204782802</v>
      </c>
      <c r="F327" s="3" t="s">
        <v>1269</v>
      </c>
      <c r="G327" s="3">
        <v>89</v>
      </c>
      <c r="H327" s="3" t="s">
        <v>69</v>
      </c>
      <c r="I327" s="3" t="s">
        <v>33</v>
      </c>
      <c r="J327" s="3" t="s">
        <v>34</v>
      </c>
      <c r="K327" s="3"/>
      <c r="L327" s="3"/>
      <c r="M327" s="3"/>
      <c r="N327" s="3" t="s">
        <v>35</v>
      </c>
      <c r="O327" s="3" t="s">
        <v>36</v>
      </c>
      <c r="P327" s="4">
        <v>45899.535069444442</v>
      </c>
      <c r="Q327" s="3">
        <v>7777777</v>
      </c>
      <c r="R327" s="3" t="s">
        <v>37</v>
      </c>
      <c r="S327" s="3"/>
      <c r="T327" s="3"/>
      <c r="U327" s="5" t="s">
        <v>38</v>
      </c>
      <c r="V327" s="3"/>
      <c r="W327" s="3" t="s">
        <v>39</v>
      </c>
      <c r="X327" s="3" t="s">
        <v>41</v>
      </c>
      <c r="Y327" s="3" t="s">
        <v>41</v>
      </c>
      <c r="Z327" s="3" t="s">
        <v>42</v>
      </c>
      <c r="AA327" s="3" t="s">
        <v>49</v>
      </c>
      <c r="AB327" s="3" t="s">
        <v>41</v>
      </c>
      <c r="AC327">
        <f>IFERROR(VLOOKUP(C327,MigradosEfectivamente!B:B,1,FALSE),"No encontrado")</f>
        <v>1076666956</v>
      </c>
    </row>
    <row r="328" spans="1:29" ht="45" x14ac:dyDescent="0.25">
      <c r="A328" s="3" t="s">
        <v>1270</v>
      </c>
      <c r="B328" s="3" t="s">
        <v>1271</v>
      </c>
      <c r="C328" s="3">
        <v>1091355396</v>
      </c>
      <c r="D328" s="3" t="s">
        <v>288</v>
      </c>
      <c r="E328" s="3">
        <v>3105818717</v>
      </c>
      <c r="F328" s="3" t="s">
        <v>268</v>
      </c>
      <c r="G328" s="3">
        <v>89</v>
      </c>
      <c r="H328" s="3" t="s">
        <v>69</v>
      </c>
      <c r="I328" s="3" t="s">
        <v>33</v>
      </c>
      <c r="J328" s="3" t="s">
        <v>34</v>
      </c>
      <c r="K328" s="3"/>
      <c r="L328" s="3"/>
      <c r="M328" s="3"/>
      <c r="N328" s="3" t="s">
        <v>35</v>
      </c>
      <c r="O328" s="3" t="s">
        <v>36</v>
      </c>
      <c r="P328" s="4">
        <v>45899.535069444442</v>
      </c>
      <c r="Q328" s="3">
        <v>7777777</v>
      </c>
      <c r="R328" s="3" t="s">
        <v>37</v>
      </c>
      <c r="S328" s="3"/>
      <c r="T328" s="3"/>
      <c r="U328" s="5" t="s">
        <v>38</v>
      </c>
      <c r="V328" s="3"/>
      <c r="W328" s="3" t="s">
        <v>39</v>
      </c>
      <c r="X328" s="3" t="s">
        <v>41</v>
      </c>
      <c r="Y328" s="3" t="s">
        <v>41</v>
      </c>
      <c r="Z328" s="3" t="s">
        <v>70</v>
      </c>
      <c r="AA328" s="3" t="s">
        <v>49</v>
      </c>
      <c r="AB328" s="3" t="s">
        <v>41</v>
      </c>
      <c r="AC328">
        <f>IFERROR(VLOOKUP(C328,MigradosEfectivamente!B:B,1,FALSE),"No encontrado")</f>
        <v>1091355396</v>
      </c>
    </row>
    <row r="329" spans="1:29" ht="60" x14ac:dyDescent="0.25">
      <c r="A329" s="3" t="s">
        <v>1272</v>
      </c>
      <c r="B329" s="3" t="s">
        <v>1273</v>
      </c>
      <c r="C329" s="3">
        <v>63346401</v>
      </c>
      <c r="D329" s="3" t="s">
        <v>1274</v>
      </c>
      <c r="E329" s="3">
        <v>3123137845</v>
      </c>
      <c r="F329" s="3" t="s">
        <v>1275</v>
      </c>
      <c r="G329" s="3">
        <v>99</v>
      </c>
      <c r="H329" s="3" t="s">
        <v>180</v>
      </c>
      <c r="I329" s="3" t="s">
        <v>82</v>
      </c>
      <c r="J329" s="3" t="s">
        <v>34</v>
      </c>
      <c r="K329" s="3"/>
      <c r="L329" s="3"/>
      <c r="M329" s="3"/>
      <c r="N329" s="3" t="s">
        <v>35</v>
      </c>
      <c r="O329" s="3" t="s">
        <v>83</v>
      </c>
      <c r="P329" s="4">
        <v>45899.535069444442</v>
      </c>
      <c r="Q329" s="3">
        <v>7777777</v>
      </c>
      <c r="R329" s="3" t="s">
        <v>37</v>
      </c>
      <c r="S329" s="3"/>
      <c r="T329" s="3"/>
      <c r="U329" s="5" t="s">
        <v>38</v>
      </c>
      <c r="V329" s="3"/>
      <c r="W329" s="3" t="s">
        <v>60</v>
      </c>
      <c r="X329" s="3" t="s">
        <v>41</v>
      </c>
      <c r="Y329" s="3" t="s">
        <v>41</v>
      </c>
      <c r="Z329" s="3" t="s">
        <v>42</v>
      </c>
      <c r="AA329" s="3" t="s">
        <v>49</v>
      </c>
      <c r="AB329" s="3" t="s">
        <v>40</v>
      </c>
      <c r="AC329">
        <f>IFERROR(VLOOKUP(C329,MigradosEfectivamente!B:B,1,FALSE),"No encontrado")</f>
        <v>63346401</v>
      </c>
    </row>
    <row r="330" spans="1:29" ht="45" x14ac:dyDescent="0.25">
      <c r="A330" s="3" t="s">
        <v>1276</v>
      </c>
      <c r="B330" s="3" t="s">
        <v>1277</v>
      </c>
      <c r="C330" s="3">
        <v>1005162538</v>
      </c>
      <c r="D330" s="3" t="s">
        <v>122</v>
      </c>
      <c r="E330" s="3" t="s">
        <v>1278</v>
      </c>
      <c r="F330" s="3" t="s">
        <v>1279</v>
      </c>
      <c r="G330" s="3">
        <v>89</v>
      </c>
      <c r="H330" s="3" t="s">
        <v>97</v>
      </c>
      <c r="I330" s="3" t="s">
        <v>33</v>
      </c>
      <c r="J330" s="3" t="s">
        <v>34</v>
      </c>
      <c r="K330" s="3"/>
      <c r="L330" s="3"/>
      <c r="M330" s="3"/>
      <c r="N330" s="3" t="s">
        <v>35</v>
      </c>
      <c r="O330" s="3" t="s">
        <v>36</v>
      </c>
      <c r="P330" s="4">
        <v>45899.535069444442</v>
      </c>
      <c r="Q330" s="3">
        <v>7777777</v>
      </c>
      <c r="R330" s="3" t="s">
        <v>37</v>
      </c>
      <c r="S330" s="3"/>
      <c r="T330" s="3"/>
      <c r="U330" s="5" t="s">
        <v>38</v>
      </c>
      <c r="V330" s="3"/>
      <c r="W330" s="3" t="s">
        <v>39</v>
      </c>
      <c r="X330" s="3" t="s">
        <v>41</v>
      </c>
      <c r="Y330" s="3" t="s">
        <v>41</v>
      </c>
      <c r="Z330" s="3" t="s">
        <v>42</v>
      </c>
      <c r="AA330" s="3" t="s">
        <v>49</v>
      </c>
      <c r="AB330" s="3" t="s">
        <v>40</v>
      </c>
      <c r="AC330">
        <f>IFERROR(VLOOKUP(C330,MigradosEfectivamente!B:B,1,FALSE),"No encontrado")</f>
        <v>1005162538</v>
      </c>
    </row>
    <row r="331" spans="1:29" ht="60" x14ac:dyDescent="0.25">
      <c r="A331" s="3" t="s">
        <v>1280</v>
      </c>
      <c r="B331" s="3" t="s">
        <v>1281</v>
      </c>
      <c r="C331" s="3">
        <v>1097333227</v>
      </c>
      <c r="D331" s="3" t="s">
        <v>1282</v>
      </c>
      <c r="E331" s="3">
        <v>3102086446</v>
      </c>
      <c r="F331" s="3" t="s">
        <v>1283</v>
      </c>
      <c r="G331" s="3">
        <v>89</v>
      </c>
      <c r="H331" s="3" t="s">
        <v>32</v>
      </c>
      <c r="I331" s="3" t="s">
        <v>82</v>
      </c>
      <c r="J331" s="3" t="s">
        <v>34</v>
      </c>
      <c r="K331" s="3"/>
      <c r="L331" s="3"/>
      <c r="M331" s="3"/>
      <c r="N331" s="3" t="s">
        <v>35</v>
      </c>
      <c r="O331" s="3" t="s">
        <v>36</v>
      </c>
      <c r="P331" s="4">
        <v>45899.535069444442</v>
      </c>
      <c r="Q331" s="3">
        <v>7777777</v>
      </c>
      <c r="R331" s="3" t="s">
        <v>37</v>
      </c>
      <c r="S331" s="3"/>
      <c r="T331" s="3"/>
      <c r="U331" s="5" t="s">
        <v>38</v>
      </c>
      <c r="V331" s="3"/>
      <c r="W331" s="3" t="s">
        <v>60</v>
      </c>
      <c r="X331" s="3" t="s">
        <v>40</v>
      </c>
      <c r="Y331" s="3" t="s">
        <v>41</v>
      </c>
      <c r="Z331" s="3" t="s">
        <v>42</v>
      </c>
      <c r="AA331" s="3" t="s">
        <v>49</v>
      </c>
      <c r="AB331" s="3" t="s">
        <v>40</v>
      </c>
      <c r="AC331" t="str">
        <f>IFERROR(VLOOKUP(C331,MigradosEfectivamente!B:B,1,FALSE),"No encontrado")</f>
        <v>No encontrado</v>
      </c>
    </row>
    <row r="332" spans="1:29" ht="60" x14ac:dyDescent="0.25">
      <c r="A332" s="3" t="s">
        <v>1284</v>
      </c>
      <c r="B332" s="3" t="s">
        <v>1285</v>
      </c>
      <c r="C332" s="3">
        <v>1098818732</v>
      </c>
      <c r="D332" s="3" t="s">
        <v>1286</v>
      </c>
      <c r="E332" s="3">
        <v>3045669154</v>
      </c>
      <c r="F332" s="3" t="s">
        <v>1287</v>
      </c>
      <c r="G332" s="3">
        <v>89</v>
      </c>
      <c r="H332" s="3" t="s">
        <v>32</v>
      </c>
      <c r="I332" s="3" t="s">
        <v>82</v>
      </c>
      <c r="J332" s="3" t="s">
        <v>34</v>
      </c>
      <c r="K332" s="3"/>
      <c r="L332" s="3"/>
      <c r="M332" s="3"/>
      <c r="N332" s="3" t="s">
        <v>35</v>
      </c>
      <c r="O332" s="3" t="s">
        <v>36</v>
      </c>
      <c r="P332" s="4">
        <v>45899.535069444442</v>
      </c>
      <c r="Q332" s="3">
        <v>7777777</v>
      </c>
      <c r="R332" s="3" t="s">
        <v>37</v>
      </c>
      <c r="S332" s="3"/>
      <c r="T332" s="3"/>
      <c r="U332" s="5" t="s">
        <v>38</v>
      </c>
      <c r="V332" s="3"/>
      <c r="W332" s="3" t="s">
        <v>60</v>
      </c>
      <c r="X332" s="3" t="s">
        <v>40</v>
      </c>
      <c r="Y332" s="3" t="s">
        <v>41</v>
      </c>
      <c r="Z332" s="3" t="s">
        <v>42</v>
      </c>
      <c r="AA332" s="3" t="s">
        <v>49</v>
      </c>
      <c r="AB332" s="3" t="s">
        <v>40</v>
      </c>
      <c r="AC332" t="str">
        <f>IFERROR(VLOOKUP(C332,MigradosEfectivamente!B:B,1,FALSE),"No encontrado")</f>
        <v>No encontrado</v>
      </c>
    </row>
    <row r="333" spans="1:29" ht="60" x14ac:dyDescent="0.25">
      <c r="A333" s="3" t="s">
        <v>1288</v>
      </c>
      <c r="B333" s="3" t="s">
        <v>1289</v>
      </c>
      <c r="C333" s="3">
        <v>1005282516</v>
      </c>
      <c r="D333" s="3" t="s">
        <v>1290</v>
      </c>
      <c r="E333" s="3">
        <v>3163220791</v>
      </c>
      <c r="F333" s="3" t="s">
        <v>1291</v>
      </c>
      <c r="G333" s="3">
        <v>99</v>
      </c>
      <c r="H333" s="3" t="s">
        <v>180</v>
      </c>
      <c r="I333" s="3" t="s">
        <v>82</v>
      </c>
      <c r="J333" s="3" t="s">
        <v>34</v>
      </c>
      <c r="K333" s="3"/>
      <c r="L333" s="3"/>
      <c r="M333" s="3"/>
      <c r="N333" s="3" t="s">
        <v>35</v>
      </c>
      <c r="O333" s="3" t="s">
        <v>83</v>
      </c>
      <c r="P333" s="4">
        <v>45899.535069444442</v>
      </c>
      <c r="Q333" s="3">
        <v>7777777</v>
      </c>
      <c r="R333" s="3" t="s">
        <v>37</v>
      </c>
      <c r="S333" s="3"/>
      <c r="T333" s="3"/>
      <c r="U333" s="5" t="s">
        <v>38</v>
      </c>
      <c r="V333" s="3"/>
      <c r="W333" s="3" t="s">
        <v>60</v>
      </c>
      <c r="X333" s="3" t="s">
        <v>41</v>
      </c>
      <c r="Y333" s="3" t="s">
        <v>41</v>
      </c>
      <c r="Z333" s="3" t="s">
        <v>42</v>
      </c>
      <c r="AA333" s="3" t="s">
        <v>49</v>
      </c>
      <c r="AB333" s="3" t="s">
        <v>40</v>
      </c>
      <c r="AC333">
        <f>IFERROR(VLOOKUP(C333,MigradosEfectivamente!B:B,1,FALSE),"No encontrado")</f>
        <v>1005282516</v>
      </c>
    </row>
    <row r="334" spans="1:29" ht="60" x14ac:dyDescent="0.25">
      <c r="A334" s="3">
        <v>23003</v>
      </c>
      <c r="B334" s="3" t="s">
        <v>1292</v>
      </c>
      <c r="C334" s="3">
        <v>1096701117</v>
      </c>
      <c r="D334" s="3" t="s">
        <v>57</v>
      </c>
      <c r="E334" s="3">
        <v>3007851193</v>
      </c>
      <c r="F334" s="3" t="s">
        <v>1293</v>
      </c>
      <c r="G334" s="3">
        <v>99</v>
      </c>
      <c r="H334" s="3" t="s">
        <v>269</v>
      </c>
      <c r="I334" s="3" t="s">
        <v>82</v>
      </c>
      <c r="J334" s="3" t="s">
        <v>34</v>
      </c>
      <c r="K334" s="3"/>
      <c r="L334" s="3"/>
      <c r="M334" s="3"/>
      <c r="N334" s="3" t="s">
        <v>35</v>
      </c>
      <c r="O334" s="3" t="s">
        <v>83</v>
      </c>
      <c r="P334" s="4">
        <v>45899.535069444442</v>
      </c>
      <c r="Q334" s="3">
        <v>7777777</v>
      </c>
      <c r="R334" s="3" t="s">
        <v>37</v>
      </c>
      <c r="S334" s="3"/>
      <c r="T334" s="3"/>
      <c r="U334" s="5" t="s">
        <v>38</v>
      </c>
      <c r="V334" s="3"/>
      <c r="W334" s="3" t="s">
        <v>60</v>
      </c>
      <c r="X334" s="3" t="s">
        <v>40</v>
      </c>
      <c r="Y334" s="3" t="s">
        <v>41</v>
      </c>
      <c r="Z334" s="3" t="s">
        <v>42</v>
      </c>
      <c r="AA334" s="3" t="s">
        <v>49</v>
      </c>
      <c r="AB334" s="3" t="s">
        <v>40</v>
      </c>
      <c r="AC334" t="str">
        <f>IFERROR(VLOOKUP(C334,MigradosEfectivamente!B:B,1,FALSE),"No encontrado")</f>
        <v>No encontrado</v>
      </c>
    </row>
    <row r="335" spans="1:29" ht="60" x14ac:dyDescent="0.25">
      <c r="A335" s="3" t="s">
        <v>1294</v>
      </c>
      <c r="B335" s="3" t="s">
        <v>1295</v>
      </c>
      <c r="C335" s="3">
        <v>1004348210</v>
      </c>
      <c r="D335" s="3" t="s">
        <v>57</v>
      </c>
      <c r="E335" s="3">
        <v>3217060838</v>
      </c>
      <c r="F335" s="3" t="s">
        <v>1296</v>
      </c>
      <c r="G335" s="3">
        <v>99</v>
      </c>
      <c r="H335" s="3" t="s">
        <v>59</v>
      </c>
      <c r="I335" s="3" t="s">
        <v>82</v>
      </c>
      <c r="J335" s="3" t="s">
        <v>34</v>
      </c>
      <c r="K335" s="3"/>
      <c r="L335" s="3"/>
      <c r="M335" s="3"/>
      <c r="N335" s="3" t="s">
        <v>35</v>
      </c>
      <c r="O335" s="3" t="s">
        <v>83</v>
      </c>
      <c r="P335" s="4">
        <v>45899.535069444442</v>
      </c>
      <c r="Q335" s="3">
        <v>7777777</v>
      </c>
      <c r="R335" s="3" t="s">
        <v>37</v>
      </c>
      <c r="S335" s="3"/>
      <c r="T335" s="3"/>
      <c r="U335" s="5" t="s">
        <v>38</v>
      </c>
      <c r="V335" s="3"/>
      <c r="W335" s="3" t="s">
        <v>60</v>
      </c>
      <c r="X335" s="3" t="s">
        <v>41</v>
      </c>
      <c r="Y335" s="3" t="s">
        <v>41</v>
      </c>
      <c r="Z335" s="3" t="s">
        <v>42</v>
      </c>
      <c r="AA335" s="3" t="s">
        <v>49</v>
      </c>
      <c r="AB335" s="3" t="s">
        <v>40</v>
      </c>
      <c r="AC335">
        <f>IFERROR(VLOOKUP(C335,MigradosEfectivamente!B:B,1,FALSE),"No encontrado")</f>
        <v>1004348210</v>
      </c>
    </row>
    <row r="336" spans="1:29" ht="45" x14ac:dyDescent="0.25">
      <c r="A336" s="3" t="s">
        <v>1297</v>
      </c>
      <c r="B336" s="3" t="s">
        <v>1298</v>
      </c>
      <c r="C336" s="3">
        <v>80870963</v>
      </c>
      <c r="D336" s="3" t="s">
        <v>1299</v>
      </c>
      <c r="E336" s="3">
        <v>3157532158</v>
      </c>
      <c r="F336" s="3" t="s">
        <v>1300</v>
      </c>
      <c r="G336" s="3">
        <v>99</v>
      </c>
      <c r="H336" s="3" t="s">
        <v>136</v>
      </c>
      <c r="I336" s="3" t="s">
        <v>82</v>
      </c>
      <c r="J336" s="3" t="s">
        <v>34</v>
      </c>
      <c r="K336" s="3"/>
      <c r="L336" s="3"/>
      <c r="M336" s="3"/>
      <c r="N336" s="3" t="s">
        <v>35</v>
      </c>
      <c r="O336" s="3" t="s">
        <v>83</v>
      </c>
      <c r="P336" s="4">
        <v>45899.535069444442</v>
      </c>
      <c r="Q336" s="3">
        <v>7777777</v>
      </c>
      <c r="R336" s="3" t="s">
        <v>37</v>
      </c>
      <c r="S336" s="3"/>
      <c r="T336" s="3"/>
      <c r="U336" s="5" t="s">
        <v>38</v>
      </c>
      <c r="V336" s="3"/>
      <c r="W336" s="3" t="s">
        <v>39</v>
      </c>
      <c r="X336" s="3" t="s">
        <v>41</v>
      </c>
      <c r="Y336" s="3" t="s">
        <v>40</v>
      </c>
      <c r="Z336" s="3" t="s">
        <v>42</v>
      </c>
      <c r="AA336" s="3" t="s">
        <v>49</v>
      </c>
      <c r="AB336" s="3" t="s">
        <v>40</v>
      </c>
      <c r="AC336">
        <f>IFERROR(VLOOKUP(C336,MigradosEfectivamente!B:B,1,FALSE),"No encontrado")</f>
        <v>80870963</v>
      </c>
    </row>
    <row r="337" spans="1:29" ht="45" x14ac:dyDescent="0.25">
      <c r="A337" s="3" t="s">
        <v>1301</v>
      </c>
      <c r="B337" s="3" t="s">
        <v>1302</v>
      </c>
      <c r="C337" s="3">
        <v>1005336822</v>
      </c>
      <c r="D337" s="3" t="s">
        <v>1303</v>
      </c>
      <c r="E337" s="3">
        <v>3024907687</v>
      </c>
      <c r="F337" s="3" t="s">
        <v>1304</v>
      </c>
      <c r="G337" s="3">
        <v>89</v>
      </c>
      <c r="H337" s="3" t="s">
        <v>97</v>
      </c>
      <c r="I337" s="3" t="s">
        <v>33</v>
      </c>
      <c r="J337" s="3" t="s">
        <v>34</v>
      </c>
      <c r="K337" s="3"/>
      <c r="L337" s="3"/>
      <c r="M337" s="3"/>
      <c r="N337" s="3" t="s">
        <v>35</v>
      </c>
      <c r="O337" s="3" t="s">
        <v>36</v>
      </c>
      <c r="P337" s="4">
        <v>45899.535069444442</v>
      </c>
      <c r="Q337" s="3">
        <v>7777777</v>
      </c>
      <c r="R337" s="3" t="s">
        <v>37</v>
      </c>
      <c r="S337" s="3"/>
      <c r="T337" s="3"/>
      <c r="U337" s="5" t="s">
        <v>38</v>
      </c>
      <c r="V337" s="3"/>
      <c r="W337" s="3" t="s">
        <v>39</v>
      </c>
      <c r="X337" s="3" t="s">
        <v>41</v>
      </c>
      <c r="Y337" s="3" t="s">
        <v>41</v>
      </c>
      <c r="Z337" s="3" t="s">
        <v>42</v>
      </c>
      <c r="AA337" s="3" t="s">
        <v>49</v>
      </c>
      <c r="AB337" s="3" t="s">
        <v>40</v>
      </c>
      <c r="AC337">
        <f>IFERROR(VLOOKUP(C337,MigradosEfectivamente!B:B,1,FALSE),"No encontrado")</f>
        <v>1005336822</v>
      </c>
    </row>
    <row r="338" spans="1:29" ht="60" x14ac:dyDescent="0.25">
      <c r="A338" s="3" t="s">
        <v>1305</v>
      </c>
      <c r="B338" s="3" t="s">
        <v>1306</v>
      </c>
      <c r="C338" s="3">
        <v>1090376019</v>
      </c>
      <c r="D338" s="3" t="s">
        <v>1307</v>
      </c>
      <c r="E338" s="3">
        <v>3153110580</v>
      </c>
      <c r="F338" s="3" t="s">
        <v>1308</v>
      </c>
      <c r="G338" s="3">
        <v>89</v>
      </c>
      <c r="H338" s="3" t="s">
        <v>136</v>
      </c>
      <c r="I338" s="3" t="s">
        <v>33</v>
      </c>
      <c r="J338" s="3" t="s">
        <v>34</v>
      </c>
      <c r="K338" s="3"/>
      <c r="L338" s="3"/>
      <c r="M338" s="3"/>
      <c r="N338" s="3" t="s">
        <v>35</v>
      </c>
      <c r="O338" s="3" t="s">
        <v>36</v>
      </c>
      <c r="P338" s="4">
        <v>45899.535069444442</v>
      </c>
      <c r="Q338" s="3">
        <v>7777777</v>
      </c>
      <c r="R338" s="3" t="s">
        <v>37</v>
      </c>
      <c r="S338" s="3"/>
      <c r="T338" s="3"/>
      <c r="U338" s="5" t="s">
        <v>38</v>
      </c>
      <c r="V338" s="3"/>
      <c r="W338" s="3" t="s">
        <v>60</v>
      </c>
      <c r="X338" s="3" t="s">
        <v>40</v>
      </c>
      <c r="Y338" s="3" t="s">
        <v>41</v>
      </c>
      <c r="Z338" s="3" t="s">
        <v>42</v>
      </c>
      <c r="AA338" s="3" t="s">
        <v>49</v>
      </c>
      <c r="AB338" s="3" t="s">
        <v>40</v>
      </c>
      <c r="AC338" t="str">
        <f>IFERROR(VLOOKUP(C338,MigradosEfectivamente!B:B,1,FALSE),"No encontrado")</f>
        <v>No encontrado</v>
      </c>
    </row>
    <row r="339" spans="1:29" ht="60" x14ac:dyDescent="0.25">
      <c r="A339" s="3" t="s">
        <v>1309</v>
      </c>
      <c r="B339" s="3" t="s">
        <v>1310</v>
      </c>
      <c r="C339" s="3">
        <v>1090447613</v>
      </c>
      <c r="D339" s="3" t="s">
        <v>1311</v>
      </c>
      <c r="E339" s="3">
        <v>3214916371</v>
      </c>
      <c r="F339" s="3" t="s">
        <v>1312</v>
      </c>
      <c r="G339" s="3">
        <v>89</v>
      </c>
      <c r="H339" s="3" t="s">
        <v>136</v>
      </c>
      <c r="I339" s="3" t="s">
        <v>33</v>
      </c>
      <c r="J339" s="3" t="s">
        <v>34</v>
      </c>
      <c r="K339" s="3"/>
      <c r="L339" s="3"/>
      <c r="M339" s="3"/>
      <c r="N339" s="3" t="s">
        <v>35</v>
      </c>
      <c r="O339" s="3" t="s">
        <v>36</v>
      </c>
      <c r="P339" s="4">
        <v>45899.535069444442</v>
      </c>
      <c r="Q339" s="3">
        <v>7777777</v>
      </c>
      <c r="R339" s="3" t="s">
        <v>37</v>
      </c>
      <c r="S339" s="3"/>
      <c r="T339" s="3"/>
      <c r="U339" s="5" t="s">
        <v>38</v>
      </c>
      <c r="V339" s="3"/>
      <c r="W339" s="3" t="s">
        <v>60</v>
      </c>
      <c r="X339" s="3" t="s">
        <v>40</v>
      </c>
      <c r="Y339" s="3" t="s">
        <v>40</v>
      </c>
      <c r="Z339" s="3" t="s">
        <v>42</v>
      </c>
      <c r="AA339" s="3" t="s">
        <v>49</v>
      </c>
      <c r="AB339" s="3" t="s">
        <v>40</v>
      </c>
      <c r="AC339" t="str">
        <f>IFERROR(VLOOKUP(C339,MigradosEfectivamente!B:B,1,FALSE),"No encontrado")</f>
        <v>No encontrado</v>
      </c>
    </row>
    <row r="340" spans="1:29" ht="45" x14ac:dyDescent="0.25">
      <c r="A340" s="3" t="s">
        <v>1313</v>
      </c>
      <c r="B340" s="3" t="s">
        <v>1314</v>
      </c>
      <c r="C340" s="3">
        <v>1006791578</v>
      </c>
      <c r="D340" s="3" t="s">
        <v>1315</v>
      </c>
      <c r="E340" s="3">
        <v>3126563510</v>
      </c>
      <c r="F340" s="3" t="s">
        <v>1316</v>
      </c>
      <c r="G340" s="3">
        <v>89</v>
      </c>
      <c r="H340" s="3" t="s">
        <v>97</v>
      </c>
      <c r="I340" s="3" t="s">
        <v>33</v>
      </c>
      <c r="J340" s="3" t="s">
        <v>34</v>
      </c>
      <c r="K340" s="3"/>
      <c r="L340" s="3"/>
      <c r="M340" s="3"/>
      <c r="N340" s="3" t="s">
        <v>35</v>
      </c>
      <c r="O340" s="3" t="s">
        <v>36</v>
      </c>
      <c r="P340" s="4">
        <v>45899.535069444442</v>
      </c>
      <c r="Q340" s="3">
        <v>7777777</v>
      </c>
      <c r="R340" s="3" t="s">
        <v>37</v>
      </c>
      <c r="S340" s="3"/>
      <c r="T340" s="3"/>
      <c r="U340" s="5" t="s">
        <v>38</v>
      </c>
      <c r="V340" s="3"/>
      <c r="W340" s="3" t="s">
        <v>39</v>
      </c>
      <c r="X340" s="3" t="s">
        <v>41</v>
      </c>
      <c r="Y340" s="3" t="s">
        <v>41</v>
      </c>
      <c r="Z340" s="3" t="s">
        <v>70</v>
      </c>
      <c r="AA340" s="3" t="s">
        <v>49</v>
      </c>
      <c r="AB340" s="3" t="s">
        <v>40</v>
      </c>
      <c r="AC340" t="str">
        <f>IFERROR(VLOOKUP(C340,MigradosEfectivamente!B:B,1,FALSE),"No encontrado")</f>
        <v>No encontrado</v>
      </c>
    </row>
    <row r="341" spans="1:29" ht="45" x14ac:dyDescent="0.25">
      <c r="A341" s="3" t="s">
        <v>1317</v>
      </c>
      <c r="B341" s="3" t="s">
        <v>1318</v>
      </c>
      <c r="C341" s="3">
        <v>1019075573</v>
      </c>
      <c r="D341" s="3" t="s">
        <v>1319</v>
      </c>
      <c r="E341" s="3">
        <v>3115976380</v>
      </c>
      <c r="F341" s="3" t="s">
        <v>1320</v>
      </c>
      <c r="G341" s="3">
        <v>89</v>
      </c>
      <c r="H341" s="3" t="s">
        <v>110</v>
      </c>
      <c r="I341" s="3" t="s">
        <v>33</v>
      </c>
      <c r="J341" s="3" t="s">
        <v>34</v>
      </c>
      <c r="K341" s="3"/>
      <c r="L341" s="3"/>
      <c r="M341" s="3"/>
      <c r="N341" s="3" t="s">
        <v>35</v>
      </c>
      <c r="O341" s="3" t="s">
        <v>36</v>
      </c>
      <c r="P341" s="4">
        <v>45899.535069444442</v>
      </c>
      <c r="Q341" s="3">
        <v>7777777</v>
      </c>
      <c r="R341" s="3" t="s">
        <v>37</v>
      </c>
      <c r="S341" s="3"/>
      <c r="T341" s="3"/>
      <c r="U341" s="5" t="s">
        <v>38</v>
      </c>
      <c r="V341" s="3"/>
      <c r="W341" s="3" t="s">
        <v>39</v>
      </c>
      <c r="X341" s="3" t="s">
        <v>41</v>
      </c>
      <c r="Y341" s="3" t="s">
        <v>41</v>
      </c>
      <c r="Z341" s="3" t="s">
        <v>70</v>
      </c>
      <c r="AA341" s="3" t="s">
        <v>49</v>
      </c>
      <c r="AB341" s="3" t="s">
        <v>40</v>
      </c>
      <c r="AC341">
        <f>IFERROR(VLOOKUP(C341,MigradosEfectivamente!B:B,1,FALSE),"No encontrado")</f>
        <v>1019075573</v>
      </c>
    </row>
    <row r="342" spans="1:29" ht="60" x14ac:dyDescent="0.25">
      <c r="A342" s="3" t="s">
        <v>1321</v>
      </c>
      <c r="B342" s="3" t="s">
        <v>1322</v>
      </c>
      <c r="C342" s="3">
        <v>1004841825</v>
      </c>
      <c r="D342" s="3" t="s">
        <v>1323</v>
      </c>
      <c r="E342" s="3">
        <v>3208424467</v>
      </c>
      <c r="F342" s="3" t="s">
        <v>1324</v>
      </c>
      <c r="G342" s="3">
        <v>89</v>
      </c>
      <c r="H342" s="3" t="s">
        <v>136</v>
      </c>
      <c r="I342" s="3" t="s">
        <v>33</v>
      </c>
      <c r="J342" s="3" t="s">
        <v>34</v>
      </c>
      <c r="K342" s="3"/>
      <c r="L342" s="3"/>
      <c r="M342" s="3"/>
      <c r="N342" s="3" t="s">
        <v>35</v>
      </c>
      <c r="O342" s="3" t="s">
        <v>36</v>
      </c>
      <c r="P342" s="4">
        <v>45898.683182870373</v>
      </c>
      <c r="Q342" s="3">
        <v>7777777</v>
      </c>
      <c r="R342" s="3" t="s">
        <v>37</v>
      </c>
      <c r="S342" s="3"/>
      <c r="T342" s="3"/>
      <c r="U342" s="5" t="s">
        <v>38</v>
      </c>
      <c r="V342" s="3"/>
      <c r="W342" s="3" t="s">
        <v>60</v>
      </c>
      <c r="X342" s="3" t="s">
        <v>41</v>
      </c>
      <c r="Y342" s="3" t="s">
        <v>41</v>
      </c>
      <c r="Z342" s="3" t="s">
        <v>42</v>
      </c>
      <c r="AA342" s="3" t="s">
        <v>49</v>
      </c>
      <c r="AB342" s="3" t="s">
        <v>40</v>
      </c>
      <c r="AC342" t="str">
        <f>IFERROR(VLOOKUP(C342,MigradosEfectivamente!B:B,1,FALSE),"No encontrado")</f>
        <v>No encontrado</v>
      </c>
    </row>
    <row r="343" spans="1:29" ht="60" x14ac:dyDescent="0.25">
      <c r="A343" s="3" t="s">
        <v>1325</v>
      </c>
      <c r="B343" s="3" t="s">
        <v>1326</v>
      </c>
      <c r="C343" s="3">
        <v>1001097190</v>
      </c>
      <c r="D343" s="3" t="s">
        <v>1327</v>
      </c>
      <c r="E343" s="3">
        <v>3043221775</v>
      </c>
      <c r="F343" s="3" t="s">
        <v>1328</v>
      </c>
      <c r="G343" s="3">
        <v>89</v>
      </c>
      <c r="H343" s="3" t="s">
        <v>136</v>
      </c>
      <c r="I343" s="3" t="s">
        <v>82</v>
      </c>
      <c r="J343" s="3" t="s">
        <v>34</v>
      </c>
      <c r="K343" s="3"/>
      <c r="L343" s="3"/>
      <c r="M343" s="3"/>
      <c r="N343" s="3" t="s">
        <v>35</v>
      </c>
      <c r="O343" s="3" t="s">
        <v>36</v>
      </c>
      <c r="P343" s="4">
        <v>45898.683182870373</v>
      </c>
      <c r="Q343" s="3">
        <v>7777777</v>
      </c>
      <c r="R343" s="3" t="s">
        <v>37</v>
      </c>
      <c r="S343" s="3"/>
      <c r="T343" s="3"/>
      <c r="U343" s="5" t="s">
        <v>38</v>
      </c>
      <c r="V343" s="3"/>
      <c r="W343" s="3" t="s">
        <v>60</v>
      </c>
      <c r="X343" s="3" t="s">
        <v>40</v>
      </c>
      <c r="Y343" s="3" t="s">
        <v>40</v>
      </c>
      <c r="Z343" s="3" t="s">
        <v>42</v>
      </c>
      <c r="AA343" s="3" t="s">
        <v>49</v>
      </c>
      <c r="AB343" s="3" t="s">
        <v>40</v>
      </c>
      <c r="AC343" t="str">
        <f>IFERROR(VLOOKUP(C343,MigradosEfectivamente!B:B,1,FALSE),"No encontrado")</f>
        <v>No encontrado</v>
      </c>
    </row>
    <row r="344" spans="1:29" ht="60" x14ac:dyDescent="0.25">
      <c r="A344" s="3" t="s">
        <v>1329</v>
      </c>
      <c r="B344" s="3" t="s">
        <v>1330</v>
      </c>
      <c r="C344" s="3">
        <v>1090511537</v>
      </c>
      <c r="D344" s="3" t="s">
        <v>1331</v>
      </c>
      <c r="E344" s="3">
        <v>3218958841</v>
      </c>
      <c r="F344" s="3" t="s">
        <v>1332</v>
      </c>
      <c r="G344" s="3">
        <v>89</v>
      </c>
      <c r="H344" s="3" t="s">
        <v>136</v>
      </c>
      <c r="I344" s="3" t="s">
        <v>33</v>
      </c>
      <c r="J344" s="3" t="s">
        <v>34</v>
      </c>
      <c r="K344" s="3"/>
      <c r="L344" s="3"/>
      <c r="M344" s="3"/>
      <c r="N344" s="3" t="s">
        <v>35</v>
      </c>
      <c r="O344" s="3" t="s">
        <v>36</v>
      </c>
      <c r="P344" s="4">
        <v>45898.683182870373</v>
      </c>
      <c r="Q344" s="3">
        <v>7777777</v>
      </c>
      <c r="R344" s="3" t="s">
        <v>37</v>
      </c>
      <c r="S344" s="3"/>
      <c r="T344" s="3"/>
      <c r="U344" s="5" t="s">
        <v>38</v>
      </c>
      <c r="V344" s="3"/>
      <c r="W344" s="3" t="s">
        <v>60</v>
      </c>
      <c r="X344" s="3" t="s">
        <v>41</v>
      </c>
      <c r="Y344" s="3" t="s">
        <v>41</v>
      </c>
      <c r="Z344" s="3" t="s">
        <v>42</v>
      </c>
      <c r="AA344" s="3" t="s">
        <v>49</v>
      </c>
      <c r="AB344" s="3" t="s">
        <v>40</v>
      </c>
      <c r="AC344">
        <f>IFERROR(VLOOKUP(C344,MigradosEfectivamente!B:B,1,FALSE),"No encontrado")</f>
        <v>1090511537</v>
      </c>
    </row>
    <row r="345" spans="1:29" ht="60" x14ac:dyDescent="0.25">
      <c r="A345" s="3" t="s">
        <v>1333</v>
      </c>
      <c r="B345" s="3" t="s">
        <v>1334</v>
      </c>
      <c r="C345" s="3">
        <v>1090489174</v>
      </c>
      <c r="D345" s="3" t="s">
        <v>1335</v>
      </c>
      <c r="E345" s="3">
        <v>3185201644</v>
      </c>
      <c r="F345" s="3" t="s">
        <v>1336</v>
      </c>
      <c r="G345" s="3">
        <v>99</v>
      </c>
      <c r="H345" s="3" t="s">
        <v>136</v>
      </c>
      <c r="I345" s="3" t="s">
        <v>82</v>
      </c>
      <c r="J345" s="3" t="s">
        <v>34</v>
      </c>
      <c r="K345" s="3"/>
      <c r="L345" s="3"/>
      <c r="M345" s="3"/>
      <c r="N345" s="3" t="s">
        <v>35</v>
      </c>
      <c r="O345" s="3" t="s">
        <v>83</v>
      </c>
      <c r="P345" s="4">
        <v>45898.683182870373</v>
      </c>
      <c r="Q345" s="3">
        <v>7777777</v>
      </c>
      <c r="R345" s="3" t="s">
        <v>37</v>
      </c>
      <c r="S345" s="3"/>
      <c r="T345" s="3"/>
      <c r="U345" s="5" t="s">
        <v>38</v>
      </c>
      <c r="V345" s="3"/>
      <c r="W345" s="3" t="s">
        <v>60</v>
      </c>
      <c r="X345" s="3" t="s">
        <v>40</v>
      </c>
      <c r="Y345" s="3" t="s">
        <v>40</v>
      </c>
      <c r="Z345" s="3" t="s">
        <v>42</v>
      </c>
      <c r="AA345" s="3" t="s">
        <v>49</v>
      </c>
      <c r="AB345" s="3" t="s">
        <v>40</v>
      </c>
      <c r="AC345" t="str">
        <f>IFERROR(VLOOKUP(C345,MigradosEfectivamente!B:B,1,FALSE),"No encontrado")</f>
        <v>No encontrado</v>
      </c>
    </row>
    <row r="346" spans="1:29" ht="60" x14ac:dyDescent="0.25">
      <c r="A346" s="3" t="s">
        <v>1337</v>
      </c>
      <c r="B346" s="3" t="s">
        <v>1338</v>
      </c>
      <c r="C346" s="3">
        <v>88233818</v>
      </c>
      <c r="D346" s="3" t="s">
        <v>1339</v>
      </c>
      <c r="E346" s="3">
        <v>3057367122</v>
      </c>
      <c r="F346" s="3" t="s">
        <v>1340</v>
      </c>
      <c r="G346" s="3">
        <v>89</v>
      </c>
      <c r="H346" s="3" t="s">
        <v>69</v>
      </c>
      <c r="I346" s="3" t="s">
        <v>33</v>
      </c>
      <c r="J346" s="3" t="s">
        <v>34</v>
      </c>
      <c r="K346" s="3"/>
      <c r="L346" s="3"/>
      <c r="M346" s="3"/>
      <c r="N346" s="3" t="s">
        <v>35</v>
      </c>
      <c r="O346" s="3" t="s">
        <v>36</v>
      </c>
      <c r="P346" s="4">
        <v>45898.586377314816</v>
      </c>
      <c r="Q346" s="3">
        <v>7777777</v>
      </c>
      <c r="R346" s="3" t="s">
        <v>37</v>
      </c>
      <c r="S346" s="3"/>
      <c r="T346" s="3"/>
      <c r="U346" s="5" t="s">
        <v>38</v>
      </c>
      <c r="V346" s="3"/>
      <c r="W346" s="3" t="s">
        <v>60</v>
      </c>
      <c r="X346" s="3" t="s">
        <v>41</v>
      </c>
      <c r="Y346" s="3" t="s">
        <v>40</v>
      </c>
      <c r="Z346" s="3" t="s">
        <v>42</v>
      </c>
      <c r="AA346" s="3" t="s">
        <v>49</v>
      </c>
      <c r="AB346" s="3" t="s">
        <v>40</v>
      </c>
      <c r="AC346">
        <f>IFERROR(VLOOKUP(C346,MigradosEfectivamente!B:B,1,FALSE),"No encontrado")</f>
        <v>88233818</v>
      </c>
    </row>
    <row r="347" spans="1:29" ht="60" x14ac:dyDescent="0.25">
      <c r="A347" s="3">
        <v>22993</v>
      </c>
      <c r="B347" s="3" t="s">
        <v>1341</v>
      </c>
      <c r="C347" s="3">
        <v>1007355147</v>
      </c>
      <c r="D347" s="3" t="s">
        <v>1342</v>
      </c>
      <c r="E347" s="3">
        <v>3247531932</v>
      </c>
      <c r="F347" s="3" t="s">
        <v>1343</v>
      </c>
      <c r="G347" s="3">
        <v>99</v>
      </c>
      <c r="H347" s="3" t="s">
        <v>269</v>
      </c>
      <c r="I347" s="3" t="s">
        <v>82</v>
      </c>
      <c r="J347" s="3" t="s">
        <v>34</v>
      </c>
      <c r="K347" s="3"/>
      <c r="L347" s="3"/>
      <c r="M347" s="3"/>
      <c r="N347" s="3" t="s">
        <v>35</v>
      </c>
      <c r="O347" s="3" t="s">
        <v>83</v>
      </c>
      <c r="P347" s="4">
        <v>45898.586145833331</v>
      </c>
      <c r="Q347" s="3">
        <v>7777777</v>
      </c>
      <c r="R347" s="3" t="s">
        <v>37</v>
      </c>
      <c r="S347" s="3"/>
      <c r="T347" s="3"/>
      <c r="U347" s="5" t="s">
        <v>38</v>
      </c>
      <c r="V347" s="3"/>
      <c r="W347" s="3" t="s">
        <v>60</v>
      </c>
      <c r="X347" s="3" t="s">
        <v>41</v>
      </c>
      <c r="Y347" s="3" t="s">
        <v>41</v>
      </c>
      <c r="Z347" s="3" t="s">
        <v>42</v>
      </c>
      <c r="AA347" s="3" t="s">
        <v>49</v>
      </c>
      <c r="AB347" s="3" t="s">
        <v>40</v>
      </c>
      <c r="AC347">
        <f>IFERROR(VLOOKUP(C347,MigradosEfectivamente!B:B,1,FALSE),"No encontrado")</f>
        <v>1007355147</v>
      </c>
    </row>
    <row r="348" spans="1:29" ht="45" x14ac:dyDescent="0.25">
      <c r="A348" s="3" t="s">
        <v>1344</v>
      </c>
      <c r="B348" s="3" t="s">
        <v>1345</v>
      </c>
      <c r="C348" s="3">
        <v>1005332490</v>
      </c>
      <c r="D348" s="3" t="s">
        <v>57</v>
      </c>
      <c r="E348" s="3">
        <v>3117895645</v>
      </c>
      <c r="F348" s="3" t="s">
        <v>1346</v>
      </c>
      <c r="G348" s="3">
        <v>89</v>
      </c>
      <c r="H348" s="3" t="s">
        <v>59</v>
      </c>
      <c r="I348" s="3" t="s">
        <v>33</v>
      </c>
      <c r="J348" s="3" t="s">
        <v>34</v>
      </c>
      <c r="K348" s="3"/>
      <c r="L348" s="3"/>
      <c r="M348" s="3"/>
      <c r="N348" s="3" t="s">
        <v>35</v>
      </c>
      <c r="O348" s="3" t="s">
        <v>36</v>
      </c>
      <c r="P348" s="4">
        <v>45898.535069444442</v>
      </c>
      <c r="Q348" s="3">
        <v>7777777</v>
      </c>
      <c r="R348" s="3" t="s">
        <v>37</v>
      </c>
      <c r="S348" s="3"/>
      <c r="T348" s="3"/>
      <c r="U348" s="5" t="s">
        <v>38</v>
      </c>
      <c r="V348" s="3"/>
      <c r="W348" s="3" t="s">
        <v>39</v>
      </c>
      <c r="X348" s="3" t="s">
        <v>41</v>
      </c>
      <c r="Y348" s="3" t="s">
        <v>41</v>
      </c>
      <c r="Z348" s="3" t="s">
        <v>42</v>
      </c>
      <c r="AA348" s="3" t="s">
        <v>49</v>
      </c>
      <c r="AB348" s="3" t="s">
        <v>41</v>
      </c>
      <c r="AC348" t="str">
        <f>IFERROR(VLOOKUP(C348,MigradosEfectivamente!B:B,1,FALSE),"No encontrado")</f>
        <v>No encontrado</v>
      </c>
    </row>
    <row r="349" spans="1:29" ht="60" x14ac:dyDescent="0.25">
      <c r="A349" s="3" t="s">
        <v>1347</v>
      </c>
      <c r="B349" s="3" t="s">
        <v>1348</v>
      </c>
      <c r="C349" s="3">
        <v>1095848550</v>
      </c>
      <c r="D349" s="3" t="s">
        <v>1349</v>
      </c>
      <c r="E349" s="3">
        <v>3138817565</v>
      </c>
      <c r="F349" s="3" t="s">
        <v>1350</v>
      </c>
      <c r="G349" s="3">
        <v>99</v>
      </c>
      <c r="H349" s="3" t="s">
        <v>59</v>
      </c>
      <c r="I349" s="3" t="s">
        <v>82</v>
      </c>
      <c r="J349" s="3" t="s">
        <v>34</v>
      </c>
      <c r="K349" s="3"/>
      <c r="L349" s="3"/>
      <c r="M349" s="3"/>
      <c r="N349" s="3" t="s">
        <v>35</v>
      </c>
      <c r="O349" s="3" t="s">
        <v>83</v>
      </c>
      <c r="P349" s="4">
        <v>45898.535069444442</v>
      </c>
      <c r="Q349" s="3">
        <v>7777777</v>
      </c>
      <c r="R349" s="3" t="s">
        <v>37</v>
      </c>
      <c r="S349" s="3"/>
      <c r="T349" s="3"/>
      <c r="U349" s="5" t="s">
        <v>38</v>
      </c>
      <c r="V349" s="3"/>
      <c r="W349" s="3" t="s">
        <v>60</v>
      </c>
      <c r="X349" s="3" t="s">
        <v>41</v>
      </c>
      <c r="Y349" s="3" t="s">
        <v>41</v>
      </c>
      <c r="Z349" s="3" t="s">
        <v>42</v>
      </c>
      <c r="AA349" s="3" t="s">
        <v>49</v>
      </c>
      <c r="AB349" s="3" t="s">
        <v>40</v>
      </c>
      <c r="AC349">
        <f>IFERROR(VLOOKUP(C349,MigradosEfectivamente!B:B,1,FALSE),"No encontrado")</f>
        <v>1095848550</v>
      </c>
    </row>
    <row r="350" spans="1:29" ht="45" x14ac:dyDescent="0.25">
      <c r="A350" s="3" t="s">
        <v>1351</v>
      </c>
      <c r="B350" s="3" t="s">
        <v>1352</v>
      </c>
      <c r="C350" s="3">
        <v>1095915147</v>
      </c>
      <c r="D350" s="3" t="s">
        <v>1353</v>
      </c>
      <c r="E350" s="3">
        <v>313889313</v>
      </c>
      <c r="F350" s="3" t="s">
        <v>1354</v>
      </c>
      <c r="G350" s="3">
        <v>89</v>
      </c>
      <c r="H350" s="3" t="s">
        <v>180</v>
      </c>
      <c r="I350" s="3" t="s">
        <v>33</v>
      </c>
      <c r="J350" s="3" t="s">
        <v>34</v>
      </c>
      <c r="K350" s="3"/>
      <c r="L350" s="3"/>
      <c r="M350" s="3"/>
      <c r="N350" s="3" t="s">
        <v>35</v>
      </c>
      <c r="O350" s="3" t="s">
        <v>36</v>
      </c>
      <c r="P350" s="4">
        <v>45898.522569444445</v>
      </c>
      <c r="Q350" s="3">
        <v>7777777</v>
      </c>
      <c r="R350" s="3" t="s">
        <v>37</v>
      </c>
      <c r="S350" s="3"/>
      <c r="T350" s="3"/>
      <c r="U350" s="5" t="s">
        <v>38</v>
      </c>
      <c r="V350" s="3"/>
      <c r="W350" s="3" t="s">
        <v>39</v>
      </c>
      <c r="X350" s="3" t="s">
        <v>41</v>
      </c>
      <c r="Y350" s="3" t="s">
        <v>41</v>
      </c>
      <c r="Z350" s="3" t="s">
        <v>92</v>
      </c>
      <c r="AA350" s="3" t="s">
        <v>49</v>
      </c>
      <c r="AB350" s="3" t="s">
        <v>40</v>
      </c>
      <c r="AC350" t="str">
        <f>IFERROR(VLOOKUP(C350,MigradosEfectivamente!B:B,1,FALSE),"No encontrado")</f>
        <v>No encontrado</v>
      </c>
    </row>
    <row r="351" spans="1:29" ht="60" x14ac:dyDescent="0.25">
      <c r="A351" s="3" t="s">
        <v>1355</v>
      </c>
      <c r="B351" s="3" t="s">
        <v>1356</v>
      </c>
      <c r="C351" s="3">
        <v>1005163315</v>
      </c>
      <c r="D351" s="3" t="s">
        <v>1357</v>
      </c>
      <c r="E351" s="3">
        <v>3182834196</v>
      </c>
      <c r="F351" s="3" t="s">
        <v>1358</v>
      </c>
      <c r="G351" s="3">
        <v>89</v>
      </c>
      <c r="H351" s="3" t="s">
        <v>180</v>
      </c>
      <c r="I351" s="3" t="s">
        <v>33</v>
      </c>
      <c r="J351" s="3" t="s">
        <v>34</v>
      </c>
      <c r="K351" s="3"/>
      <c r="L351" s="3"/>
      <c r="M351" s="3"/>
      <c r="N351" s="3" t="s">
        <v>35</v>
      </c>
      <c r="O351" s="3" t="s">
        <v>36</v>
      </c>
      <c r="P351" s="4">
        <v>45898.522569444445</v>
      </c>
      <c r="Q351" s="3">
        <v>7777777</v>
      </c>
      <c r="R351" s="3" t="s">
        <v>37</v>
      </c>
      <c r="S351" s="3"/>
      <c r="T351" s="3"/>
      <c r="U351" s="5" t="s">
        <v>38</v>
      </c>
      <c r="V351" s="3"/>
      <c r="W351" s="3" t="s">
        <v>60</v>
      </c>
      <c r="X351" s="3" t="s">
        <v>41</v>
      </c>
      <c r="Y351" s="3" t="s">
        <v>41</v>
      </c>
      <c r="Z351" s="3" t="s">
        <v>42</v>
      </c>
      <c r="AA351" s="3" t="s">
        <v>49</v>
      </c>
      <c r="AB351" s="3" t="s">
        <v>40</v>
      </c>
      <c r="AC351">
        <f>IFERROR(VLOOKUP(C351,MigradosEfectivamente!B:B,1,FALSE),"No encontrado")</f>
        <v>1005163315</v>
      </c>
    </row>
    <row r="352" spans="1:29" ht="45" x14ac:dyDescent="0.25">
      <c r="A352" s="3" t="s">
        <v>1359</v>
      </c>
      <c r="B352" s="3" t="s">
        <v>1360</v>
      </c>
      <c r="C352" s="3">
        <v>1098757539</v>
      </c>
      <c r="D352" s="3" t="s">
        <v>1138</v>
      </c>
      <c r="E352" s="3">
        <v>3184975541</v>
      </c>
      <c r="F352" s="3" t="s">
        <v>1361</v>
      </c>
      <c r="G352" s="3">
        <v>89</v>
      </c>
      <c r="H352" s="3" t="s">
        <v>180</v>
      </c>
      <c r="I352" s="3" t="s">
        <v>33</v>
      </c>
      <c r="J352" s="3" t="s">
        <v>34</v>
      </c>
      <c r="K352" s="3"/>
      <c r="L352" s="3"/>
      <c r="M352" s="3"/>
      <c r="N352" s="3" t="s">
        <v>35</v>
      </c>
      <c r="O352" s="3" t="s">
        <v>36</v>
      </c>
      <c r="P352" s="4">
        <v>45898.522569444445</v>
      </c>
      <c r="Q352" s="3">
        <v>7777777</v>
      </c>
      <c r="R352" s="3" t="s">
        <v>37</v>
      </c>
      <c r="S352" s="3"/>
      <c r="T352" s="3"/>
      <c r="U352" s="5" t="s">
        <v>38</v>
      </c>
      <c r="V352" s="3"/>
      <c r="W352" s="3" t="s">
        <v>39</v>
      </c>
      <c r="X352" s="3" t="s">
        <v>41</v>
      </c>
      <c r="Y352" s="3" t="s">
        <v>41</v>
      </c>
      <c r="Z352" s="3" t="s">
        <v>70</v>
      </c>
      <c r="AA352" s="3" t="s">
        <v>49</v>
      </c>
      <c r="AB352" s="3" t="s">
        <v>40</v>
      </c>
      <c r="AC352">
        <f>IFERROR(VLOOKUP(C352,MigradosEfectivamente!B:B,1,FALSE),"No encontrado")</f>
        <v>1098757539</v>
      </c>
    </row>
    <row r="353" spans="1:29" ht="45" x14ac:dyDescent="0.25">
      <c r="A353" s="3" t="s">
        <v>1362</v>
      </c>
      <c r="B353" s="3" t="s">
        <v>1363</v>
      </c>
      <c r="C353" s="3">
        <v>1090372160</v>
      </c>
      <c r="D353" s="3" t="s">
        <v>136</v>
      </c>
      <c r="E353" s="3">
        <v>3219126848</v>
      </c>
      <c r="F353" s="3" t="s">
        <v>1364</v>
      </c>
      <c r="G353" s="3">
        <v>89</v>
      </c>
      <c r="H353" s="3" t="s">
        <v>69</v>
      </c>
      <c r="I353" s="3" t="s">
        <v>33</v>
      </c>
      <c r="J353" s="3" t="s">
        <v>34</v>
      </c>
      <c r="K353" s="3"/>
      <c r="L353" s="3"/>
      <c r="M353" s="3"/>
      <c r="N353" s="3" t="s">
        <v>35</v>
      </c>
      <c r="O353" s="3" t="s">
        <v>36</v>
      </c>
      <c r="P353" s="4">
        <v>45898.484884259262</v>
      </c>
      <c r="Q353" s="3">
        <v>7777777</v>
      </c>
      <c r="R353" s="3" t="s">
        <v>37</v>
      </c>
      <c r="S353" s="3"/>
      <c r="T353" s="3"/>
      <c r="U353" s="5" t="s">
        <v>38</v>
      </c>
      <c r="V353" s="3"/>
      <c r="W353" s="3" t="s">
        <v>39</v>
      </c>
      <c r="X353" s="3" t="s">
        <v>41</v>
      </c>
      <c r="Y353" s="3" t="s">
        <v>41</v>
      </c>
      <c r="Z353" s="3" t="s">
        <v>92</v>
      </c>
      <c r="AA353" s="3" t="s">
        <v>49</v>
      </c>
      <c r="AB353" s="3" t="s">
        <v>41</v>
      </c>
      <c r="AC353">
        <f>IFERROR(VLOOKUP(C353,MigradosEfectivamente!B:B,1,FALSE),"No encontrado")</f>
        <v>1090372160</v>
      </c>
    </row>
    <row r="354" spans="1:29" ht="60" x14ac:dyDescent="0.25">
      <c r="A354" s="3" t="s">
        <v>1365</v>
      </c>
      <c r="B354" s="3" t="s">
        <v>1366</v>
      </c>
      <c r="C354" s="3">
        <v>1098816206</v>
      </c>
      <c r="D354" s="3" t="s">
        <v>122</v>
      </c>
      <c r="E354" s="3">
        <v>3143619122</v>
      </c>
      <c r="F354" s="3" t="s">
        <v>1367</v>
      </c>
      <c r="G354" s="3">
        <v>99</v>
      </c>
      <c r="H354" s="3" t="s">
        <v>32</v>
      </c>
      <c r="I354" s="3" t="s">
        <v>82</v>
      </c>
      <c r="J354" s="3" t="s">
        <v>34</v>
      </c>
      <c r="K354" s="3"/>
      <c r="L354" s="3"/>
      <c r="M354" s="3"/>
      <c r="N354" s="3" t="s">
        <v>35</v>
      </c>
      <c r="O354" s="3" t="s">
        <v>83</v>
      </c>
      <c r="P354" s="4">
        <v>45898.481134259258</v>
      </c>
      <c r="Q354" s="3">
        <v>7777777</v>
      </c>
      <c r="R354" s="3" t="s">
        <v>37</v>
      </c>
      <c r="S354" s="3"/>
      <c r="T354" s="3"/>
      <c r="U354" s="5" t="s">
        <v>38</v>
      </c>
      <c r="V354" s="3"/>
      <c r="W354" s="3" t="s">
        <v>60</v>
      </c>
      <c r="X354" s="3" t="s">
        <v>41</v>
      </c>
      <c r="Y354" s="3" t="s">
        <v>41</v>
      </c>
      <c r="Z354" s="3" t="s">
        <v>42</v>
      </c>
      <c r="AA354" s="3" t="s">
        <v>49</v>
      </c>
      <c r="AB354" s="3" t="s">
        <v>40</v>
      </c>
      <c r="AC354">
        <f>IFERROR(VLOOKUP(C354,MigradosEfectivamente!B:B,1,FALSE),"No encontrado")</f>
        <v>1098816206</v>
      </c>
    </row>
    <row r="355" spans="1:29" ht="60" x14ac:dyDescent="0.25">
      <c r="A355" s="3" t="s">
        <v>1368</v>
      </c>
      <c r="B355" s="3" t="s">
        <v>1369</v>
      </c>
      <c r="C355" s="3">
        <v>3079306</v>
      </c>
      <c r="D355" s="3" t="s">
        <v>1370</v>
      </c>
      <c r="E355" s="3">
        <v>3027028560</v>
      </c>
      <c r="F355" s="3" t="s">
        <v>1371</v>
      </c>
      <c r="G355" s="3">
        <v>89</v>
      </c>
      <c r="H355" s="3" t="s">
        <v>32</v>
      </c>
      <c r="I355" s="3" t="s">
        <v>33</v>
      </c>
      <c r="J355" s="3" t="s">
        <v>34</v>
      </c>
      <c r="K355" s="3"/>
      <c r="L355" s="3"/>
      <c r="M355" s="3"/>
      <c r="N355" s="3" t="s">
        <v>35</v>
      </c>
      <c r="O355" s="3" t="s">
        <v>36</v>
      </c>
      <c r="P355" s="4">
        <v>45898.481134259258</v>
      </c>
      <c r="Q355" s="3">
        <v>7777777</v>
      </c>
      <c r="R355" s="3" t="s">
        <v>37</v>
      </c>
      <c r="S355" s="3"/>
      <c r="T355" s="3"/>
      <c r="U355" s="5" t="s">
        <v>38</v>
      </c>
      <c r="V355" s="3"/>
      <c r="W355" s="3" t="s">
        <v>60</v>
      </c>
      <c r="X355" s="3" t="s">
        <v>41</v>
      </c>
      <c r="Y355" s="3" t="s">
        <v>41</v>
      </c>
      <c r="Z355" s="3" t="s">
        <v>42</v>
      </c>
      <c r="AA355" s="3" t="s">
        <v>49</v>
      </c>
      <c r="AB355" s="3" t="s">
        <v>40</v>
      </c>
      <c r="AC355">
        <f>IFERROR(VLOOKUP(C355,MigradosEfectivamente!B:B,1,FALSE),"No encontrado")</f>
        <v>3079306</v>
      </c>
    </row>
    <row r="356" spans="1:29" ht="60" x14ac:dyDescent="0.25">
      <c r="A356" s="3" t="s">
        <v>1372</v>
      </c>
      <c r="B356" s="3" t="s">
        <v>1373</v>
      </c>
      <c r="C356" s="3">
        <v>24652281</v>
      </c>
      <c r="D356" s="3" t="s">
        <v>90</v>
      </c>
      <c r="E356" s="3">
        <v>3125072124</v>
      </c>
      <c r="F356" s="3" t="s">
        <v>1374</v>
      </c>
      <c r="G356" s="3">
        <v>89</v>
      </c>
      <c r="H356" s="3" t="s">
        <v>32</v>
      </c>
      <c r="I356" s="3" t="s">
        <v>33</v>
      </c>
      <c r="J356" s="3" t="s">
        <v>34</v>
      </c>
      <c r="K356" s="3"/>
      <c r="L356" s="3"/>
      <c r="M356" s="3"/>
      <c r="N356" s="3" t="s">
        <v>35</v>
      </c>
      <c r="O356" s="3" t="s">
        <v>36</v>
      </c>
      <c r="P356" s="4">
        <v>45898.481134259258</v>
      </c>
      <c r="Q356" s="3">
        <v>7777777</v>
      </c>
      <c r="R356" s="3" t="s">
        <v>37</v>
      </c>
      <c r="S356" s="3"/>
      <c r="T356" s="3"/>
      <c r="U356" s="5" t="s">
        <v>38</v>
      </c>
      <c r="V356" s="3"/>
      <c r="W356" s="3" t="s">
        <v>60</v>
      </c>
      <c r="X356" s="3" t="s">
        <v>41</v>
      </c>
      <c r="Y356" s="3" t="s">
        <v>41</v>
      </c>
      <c r="Z356" s="3" t="s">
        <v>42</v>
      </c>
      <c r="AA356" s="3" t="s">
        <v>49</v>
      </c>
      <c r="AB356" s="3" t="s">
        <v>40</v>
      </c>
      <c r="AC356">
        <f>IFERROR(VLOOKUP(C356,MigradosEfectivamente!B:B,1,FALSE),"No encontrado")</f>
        <v>24652281</v>
      </c>
    </row>
    <row r="357" spans="1:29" ht="60" x14ac:dyDescent="0.25">
      <c r="A357" s="3" t="s">
        <v>1375</v>
      </c>
      <c r="B357" s="3" t="s">
        <v>1376</v>
      </c>
      <c r="C357" s="3">
        <v>1097094895</v>
      </c>
      <c r="D357" s="3"/>
      <c r="E357" s="3"/>
      <c r="F357" s="3" t="s">
        <v>1377</v>
      </c>
      <c r="G357" s="3">
        <v>89</v>
      </c>
      <c r="H357" s="3" t="s">
        <v>54</v>
      </c>
      <c r="I357" s="3" t="s">
        <v>82</v>
      </c>
      <c r="J357" s="3" t="s">
        <v>34</v>
      </c>
      <c r="K357" s="3"/>
      <c r="L357" s="3"/>
      <c r="M357" s="3"/>
      <c r="N357" s="3" t="s">
        <v>35</v>
      </c>
      <c r="O357" s="3" t="s">
        <v>36</v>
      </c>
      <c r="P357" s="4">
        <v>45898.442129629628</v>
      </c>
      <c r="Q357" s="3">
        <v>7777777</v>
      </c>
      <c r="R357" s="3" t="s">
        <v>37</v>
      </c>
      <c r="S357" s="3"/>
      <c r="T357" s="3"/>
      <c r="U357" s="5" t="s">
        <v>38</v>
      </c>
      <c r="V357" s="3"/>
      <c r="W357" s="3" t="s">
        <v>60</v>
      </c>
      <c r="X357" s="3" t="s">
        <v>41</v>
      </c>
      <c r="Y357" s="3" t="s">
        <v>41</v>
      </c>
      <c r="Z357" s="3" t="s">
        <v>42</v>
      </c>
      <c r="AA357" s="3" t="s">
        <v>49</v>
      </c>
      <c r="AB357" s="3" t="s">
        <v>40</v>
      </c>
      <c r="AC357" t="str">
        <f>IFERROR(VLOOKUP(C357,MigradosEfectivamente!B:B,1,FALSE),"No encontrado")</f>
        <v>No encontrado</v>
      </c>
    </row>
    <row r="358" spans="1:29" ht="60" x14ac:dyDescent="0.25">
      <c r="A358" s="3" t="s">
        <v>1378</v>
      </c>
      <c r="B358" s="3" t="s">
        <v>1379</v>
      </c>
      <c r="C358" s="3">
        <v>1095834898</v>
      </c>
      <c r="D358" s="3" t="s">
        <v>169</v>
      </c>
      <c r="E358" s="3">
        <v>3223314287</v>
      </c>
      <c r="F358" s="3" t="s">
        <v>1380</v>
      </c>
      <c r="G358" s="3">
        <v>89</v>
      </c>
      <c r="H358" s="3" t="s">
        <v>110</v>
      </c>
      <c r="I358" s="3" t="s">
        <v>33</v>
      </c>
      <c r="J358" s="3" t="s">
        <v>34</v>
      </c>
      <c r="K358" s="3"/>
      <c r="L358" s="3"/>
      <c r="M358" s="3"/>
      <c r="N358" s="3" t="s">
        <v>35</v>
      </c>
      <c r="O358" s="3" t="s">
        <v>36</v>
      </c>
      <c r="P358" s="4">
        <v>45898.341585648152</v>
      </c>
      <c r="Q358" s="3">
        <v>7777777</v>
      </c>
      <c r="R358" s="3" t="s">
        <v>37</v>
      </c>
      <c r="S358" s="3"/>
      <c r="T358" s="3"/>
      <c r="U358" s="5" t="s">
        <v>38</v>
      </c>
      <c r="V358" s="3"/>
      <c r="W358" s="3" t="s">
        <v>60</v>
      </c>
      <c r="X358" s="3" t="s">
        <v>40</v>
      </c>
      <c r="Y358" s="3" t="s">
        <v>41</v>
      </c>
      <c r="Z358" s="3" t="s">
        <v>42</v>
      </c>
      <c r="AA358" s="3" t="s">
        <v>49</v>
      </c>
      <c r="AB358" s="3" t="s">
        <v>40</v>
      </c>
      <c r="AC358" t="str">
        <f>IFERROR(VLOOKUP(C358,MigradosEfectivamente!B:B,1,FALSE),"No encontrado")</f>
        <v>No encontrado</v>
      </c>
    </row>
    <row r="359" spans="1:29" ht="60" x14ac:dyDescent="0.25">
      <c r="A359" s="3" t="s">
        <v>1381</v>
      </c>
      <c r="B359" s="3" t="s">
        <v>1382</v>
      </c>
      <c r="C359" s="3">
        <v>63517947</v>
      </c>
      <c r="D359" s="3" t="s">
        <v>1383</v>
      </c>
      <c r="E359" s="3">
        <v>3178559551</v>
      </c>
      <c r="F359" s="3" t="s">
        <v>1384</v>
      </c>
      <c r="G359" s="3">
        <v>99</v>
      </c>
      <c r="H359" s="3" t="s">
        <v>110</v>
      </c>
      <c r="I359" s="3" t="s">
        <v>82</v>
      </c>
      <c r="J359" s="3" t="s">
        <v>34</v>
      </c>
      <c r="K359" s="3"/>
      <c r="L359" s="3"/>
      <c r="M359" s="3"/>
      <c r="N359" s="3" t="s">
        <v>35</v>
      </c>
      <c r="O359" s="3" t="s">
        <v>83</v>
      </c>
      <c r="P359" s="4">
        <v>45898.333993055552</v>
      </c>
      <c r="Q359" s="3">
        <v>7777777</v>
      </c>
      <c r="R359" s="3" t="s">
        <v>37</v>
      </c>
      <c r="S359" s="3"/>
      <c r="T359" s="3"/>
      <c r="U359" s="5" t="s">
        <v>38</v>
      </c>
      <c r="V359" s="3"/>
      <c r="W359" s="3" t="s">
        <v>60</v>
      </c>
      <c r="X359" s="3" t="s">
        <v>40</v>
      </c>
      <c r="Y359" s="3" t="s">
        <v>41</v>
      </c>
      <c r="Z359" s="3" t="s">
        <v>42</v>
      </c>
      <c r="AA359" s="3" t="s">
        <v>49</v>
      </c>
      <c r="AB359" s="3" t="s">
        <v>40</v>
      </c>
      <c r="AC359" t="str">
        <f>IFERROR(VLOOKUP(C359,MigradosEfectivamente!B:B,1,FALSE),"No encontrado")</f>
        <v>No encontrado</v>
      </c>
    </row>
    <row r="360" spans="1:29" ht="60" x14ac:dyDescent="0.25">
      <c r="A360" s="3" t="s">
        <v>1385</v>
      </c>
      <c r="B360" s="3" t="s">
        <v>1386</v>
      </c>
      <c r="C360" s="3">
        <v>1097781044</v>
      </c>
      <c r="D360" s="3" t="s">
        <v>1180</v>
      </c>
      <c r="E360" s="3">
        <v>3004120465</v>
      </c>
      <c r="F360" s="3" t="s">
        <v>1387</v>
      </c>
      <c r="G360" s="3">
        <v>89</v>
      </c>
      <c r="H360" s="3" t="s">
        <v>97</v>
      </c>
      <c r="I360" s="3" t="s">
        <v>82</v>
      </c>
      <c r="J360" s="3" t="s">
        <v>34</v>
      </c>
      <c r="K360" s="3"/>
      <c r="L360" s="3"/>
      <c r="M360" s="3"/>
      <c r="N360" s="3" t="s">
        <v>35</v>
      </c>
      <c r="O360" s="3" t="s">
        <v>36</v>
      </c>
      <c r="P360" s="4">
        <v>45898.33353009259</v>
      </c>
      <c r="Q360" s="3">
        <v>7777777</v>
      </c>
      <c r="R360" s="3" t="s">
        <v>37</v>
      </c>
      <c r="S360" s="3"/>
      <c r="T360" s="3"/>
      <c r="U360" s="5" t="s">
        <v>38</v>
      </c>
      <c r="V360" s="3"/>
      <c r="W360" s="3" t="s">
        <v>60</v>
      </c>
      <c r="X360" s="3" t="s">
        <v>41</v>
      </c>
      <c r="Y360" s="3" t="s">
        <v>41</v>
      </c>
      <c r="Z360" s="3" t="s">
        <v>42</v>
      </c>
      <c r="AA360" s="3" t="s">
        <v>49</v>
      </c>
      <c r="AB360" s="3" t="s">
        <v>40</v>
      </c>
      <c r="AC360" t="str">
        <f>IFERROR(VLOOKUP(C360,MigradosEfectivamente!B:B,1,FALSE),"No encontrado")</f>
        <v>No encontrado</v>
      </c>
    </row>
    <row r="361" spans="1:29" ht="45" x14ac:dyDescent="0.25">
      <c r="A361" s="3" t="s">
        <v>1388</v>
      </c>
      <c r="B361" s="3" t="s">
        <v>1389</v>
      </c>
      <c r="C361" s="3">
        <v>1098754580</v>
      </c>
      <c r="D361" s="3" t="s">
        <v>169</v>
      </c>
      <c r="E361" s="3" t="s">
        <v>1390</v>
      </c>
      <c r="F361" s="3" t="s">
        <v>1391</v>
      </c>
      <c r="G361" s="3">
        <v>89</v>
      </c>
      <c r="H361" s="3" t="s">
        <v>97</v>
      </c>
      <c r="I361" s="3" t="s">
        <v>33</v>
      </c>
      <c r="J361" s="3" t="s">
        <v>34</v>
      </c>
      <c r="K361" s="3"/>
      <c r="L361" s="3"/>
      <c r="M361" s="3"/>
      <c r="N361" s="3" t="s">
        <v>35</v>
      </c>
      <c r="O361" s="3" t="s">
        <v>36</v>
      </c>
      <c r="P361" s="4">
        <v>45898.33353009259</v>
      </c>
      <c r="Q361" s="3">
        <v>7777777</v>
      </c>
      <c r="R361" s="3" t="s">
        <v>37</v>
      </c>
      <c r="S361" s="3"/>
      <c r="T361" s="3"/>
      <c r="U361" s="5" t="s">
        <v>38</v>
      </c>
      <c r="V361" s="3"/>
      <c r="W361" s="3" t="s">
        <v>39</v>
      </c>
      <c r="X361" s="3" t="s">
        <v>40</v>
      </c>
      <c r="Y361" s="3" t="s">
        <v>41</v>
      </c>
      <c r="Z361" s="3" t="s">
        <v>70</v>
      </c>
      <c r="AA361" s="3" t="s">
        <v>49</v>
      </c>
      <c r="AB361" s="3" t="s">
        <v>40</v>
      </c>
      <c r="AC361">
        <f>IFERROR(VLOOKUP(C361,MigradosEfectivamente!B:B,1,FALSE),"No encontrado")</f>
        <v>1098754580</v>
      </c>
    </row>
    <row r="362" spans="1:29" ht="60" x14ac:dyDescent="0.25">
      <c r="A362" s="3" t="s">
        <v>1392</v>
      </c>
      <c r="B362" s="3" t="s">
        <v>1393</v>
      </c>
      <c r="C362" s="3">
        <v>1098615709</v>
      </c>
      <c r="D362" s="3" t="s">
        <v>1394</v>
      </c>
      <c r="E362" s="3">
        <v>3232410651</v>
      </c>
      <c r="F362" s="3" t="s">
        <v>1395</v>
      </c>
      <c r="G362" s="3">
        <v>89</v>
      </c>
      <c r="H362" s="3" t="s">
        <v>54</v>
      </c>
      <c r="I362" s="3" t="s">
        <v>119</v>
      </c>
      <c r="J362" s="3" t="s">
        <v>34</v>
      </c>
      <c r="K362" s="3"/>
      <c r="L362" s="3"/>
      <c r="M362" s="3"/>
      <c r="N362" s="3" t="s">
        <v>35</v>
      </c>
      <c r="O362" s="3" t="s">
        <v>36</v>
      </c>
      <c r="P362" s="4">
        <v>45897.356898148151</v>
      </c>
      <c r="Q362" s="3">
        <v>7777777</v>
      </c>
      <c r="R362" s="3" t="s">
        <v>37</v>
      </c>
      <c r="S362" s="3"/>
      <c r="T362" s="3"/>
      <c r="U362" s="5" t="s">
        <v>38</v>
      </c>
      <c r="V362" s="3"/>
      <c r="W362" s="3" t="s">
        <v>60</v>
      </c>
      <c r="X362" s="3" t="s">
        <v>41</v>
      </c>
      <c r="Y362" s="3" t="s">
        <v>41</v>
      </c>
      <c r="Z362" s="3" t="s">
        <v>42</v>
      </c>
      <c r="AA362" s="3" t="s">
        <v>49</v>
      </c>
      <c r="AB362" s="3" t="s">
        <v>40</v>
      </c>
      <c r="AC362">
        <f>IFERROR(VLOOKUP(C362,MigradosEfectivamente!B:B,1,FALSE),"No encontrado")</f>
        <v>1098615709</v>
      </c>
    </row>
    <row r="363" spans="1:29" ht="60" x14ac:dyDescent="0.25">
      <c r="A363" s="3">
        <v>22983</v>
      </c>
      <c r="B363" s="3" t="s">
        <v>1396</v>
      </c>
      <c r="C363" s="3">
        <v>1005311264</v>
      </c>
      <c r="D363" s="3" t="s">
        <v>122</v>
      </c>
      <c r="E363" s="3">
        <v>3156202242</v>
      </c>
      <c r="F363" s="3" t="s">
        <v>1397</v>
      </c>
      <c r="G363" s="3">
        <v>99</v>
      </c>
      <c r="H363" s="3" t="s">
        <v>269</v>
      </c>
      <c r="I363" s="3" t="s">
        <v>82</v>
      </c>
      <c r="J363" s="3" t="s">
        <v>34</v>
      </c>
      <c r="K363" s="3"/>
      <c r="L363" s="3"/>
      <c r="M363" s="3"/>
      <c r="N363" s="3" t="s">
        <v>35</v>
      </c>
      <c r="O363" s="3" t="s">
        <v>83</v>
      </c>
      <c r="P363" s="4">
        <v>45897.356898148151</v>
      </c>
      <c r="Q363" s="3">
        <v>7777777</v>
      </c>
      <c r="R363" s="3" t="s">
        <v>37</v>
      </c>
      <c r="S363" s="3"/>
      <c r="T363" s="3"/>
      <c r="U363" s="5" t="s">
        <v>38</v>
      </c>
      <c r="V363" s="3"/>
      <c r="W363" s="3" t="s">
        <v>60</v>
      </c>
      <c r="X363" s="3" t="s">
        <v>40</v>
      </c>
      <c r="Y363" s="3" t="s">
        <v>41</v>
      </c>
      <c r="Z363" s="3" t="s">
        <v>42</v>
      </c>
      <c r="AA363" s="3" t="s">
        <v>49</v>
      </c>
      <c r="AB363" s="3" t="s">
        <v>40</v>
      </c>
      <c r="AC363" t="str">
        <f>IFERROR(VLOOKUP(C363,MigradosEfectivamente!B:B,1,FALSE),"No encontrado")</f>
        <v>No encontrado</v>
      </c>
    </row>
    <row r="364" spans="1:29" ht="60" x14ac:dyDescent="0.25">
      <c r="A364" s="3" t="s">
        <v>1398</v>
      </c>
      <c r="B364" s="3" t="s">
        <v>1399</v>
      </c>
      <c r="C364" s="3">
        <v>1090443270</v>
      </c>
      <c r="D364" s="3" t="s">
        <v>1400</v>
      </c>
      <c r="E364" s="3">
        <v>3212688204</v>
      </c>
      <c r="F364" s="3" t="s">
        <v>1401</v>
      </c>
      <c r="G364" s="3">
        <v>89</v>
      </c>
      <c r="H364" s="3" t="s">
        <v>136</v>
      </c>
      <c r="I364" s="3" t="s">
        <v>33</v>
      </c>
      <c r="J364" s="3" t="s">
        <v>34</v>
      </c>
      <c r="K364" s="3"/>
      <c r="L364" s="3"/>
      <c r="M364" s="3"/>
      <c r="N364" s="3" t="s">
        <v>35</v>
      </c>
      <c r="O364" s="3" t="s">
        <v>36</v>
      </c>
      <c r="P364" s="4">
        <v>45897.356898148151</v>
      </c>
      <c r="Q364" s="3">
        <v>7777777</v>
      </c>
      <c r="R364" s="3" t="s">
        <v>37</v>
      </c>
      <c r="S364" s="3"/>
      <c r="T364" s="3"/>
      <c r="U364" s="5" t="s">
        <v>38</v>
      </c>
      <c r="V364" s="3"/>
      <c r="W364" s="3" t="s">
        <v>60</v>
      </c>
      <c r="X364" s="3" t="s">
        <v>40</v>
      </c>
      <c r="Y364" s="3" t="s">
        <v>41</v>
      </c>
      <c r="Z364" s="3" t="s">
        <v>42</v>
      </c>
      <c r="AA364" s="3" t="s">
        <v>49</v>
      </c>
      <c r="AB364" s="3" t="s">
        <v>40</v>
      </c>
      <c r="AC364">
        <f>IFERROR(VLOOKUP(C364,MigradosEfectivamente!B:B,1,FALSE),"No encontrado")</f>
        <v>1090443270</v>
      </c>
    </row>
    <row r="365" spans="1:29" ht="60" x14ac:dyDescent="0.25">
      <c r="A365" s="3">
        <v>22989</v>
      </c>
      <c r="B365" s="3" t="s">
        <v>1402</v>
      </c>
      <c r="C365" s="3">
        <v>1097911303</v>
      </c>
      <c r="D365" s="3" t="s">
        <v>1403</v>
      </c>
      <c r="E365" s="3">
        <v>3001632609</v>
      </c>
      <c r="F365" s="3" t="s">
        <v>1404</v>
      </c>
      <c r="G365" s="3">
        <v>89</v>
      </c>
      <c r="H365" s="3" t="s">
        <v>269</v>
      </c>
      <c r="I365" s="3" t="s">
        <v>82</v>
      </c>
      <c r="J365" s="3" t="s">
        <v>34</v>
      </c>
      <c r="K365" s="3"/>
      <c r="L365" s="3"/>
      <c r="M365" s="3"/>
      <c r="N365" s="3" t="s">
        <v>35</v>
      </c>
      <c r="O365" s="3" t="s">
        <v>36</v>
      </c>
      <c r="P365" s="4">
        <v>45897.31523148148</v>
      </c>
      <c r="Q365" s="3">
        <v>7777777</v>
      </c>
      <c r="R365" s="3" t="s">
        <v>37</v>
      </c>
      <c r="S365" s="3"/>
      <c r="T365" s="3"/>
      <c r="U365" s="5" t="s">
        <v>38</v>
      </c>
      <c r="V365" s="3"/>
      <c r="W365" s="3" t="s">
        <v>60</v>
      </c>
      <c r="X365" s="3" t="s">
        <v>41</v>
      </c>
      <c r="Y365" s="3" t="s">
        <v>41</v>
      </c>
      <c r="Z365" s="3" t="s">
        <v>42</v>
      </c>
      <c r="AA365" s="3" t="s">
        <v>49</v>
      </c>
      <c r="AB365" s="3" t="s">
        <v>40</v>
      </c>
      <c r="AC365">
        <f>IFERROR(VLOOKUP(C365,MigradosEfectivamente!B:B,1,FALSE),"No encontrado")</f>
        <v>1097911303</v>
      </c>
    </row>
    <row r="366" spans="1:29" ht="45" x14ac:dyDescent="0.25">
      <c r="A366" s="3" t="s">
        <v>1405</v>
      </c>
      <c r="B366" s="3" t="s">
        <v>1406</v>
      </c>
      <c r="C366" s="3">
        <v>1024587842</v>
      </c>
      <c r="D366" s="3" t="s">
        <v>1407</v>
      </c>
      <c r="E366" s="3">
        <v>3045589796</v>
      </c>
      <c r="F366" s="3" t="s">
        <v>1408</v>
      </c>
      <c r="G366" s="3">
        <v>89</v>
      </c>
      <c r="H366" s="3" t="s">
        <v>97</v>
      </c>
      <c r="I366" s="3" t="s">
        <v>33</v>
      </c>
      <c r="J366" s="3" t="s">
        <v>34</v>
      </c>
      <c r="K366" s="3"/>
      <c r="L366" s="3"/>
      <c r="M366" s="3"/>
      <c r="N366" s="3" t="s">
        <v>35</v>
      </c>
      <c r="O366" s="3" t="s">
        <v>36</v>
      </c>
      <c r="P366" s="4">
        <v>45897.31523148148</v>
      </c>
      <c r="Q366" s="3">
        <v>7777777</v>
      </c>
      <c r="R366" s="3" t="s">
        <v>37</v>
      </c>
      <c r="S366" s="3"/>
      <c r="T366" s="3"/>
      <c r="U366" s="5" t="s">
        <v>38</v>
      </c>
      <c r="V366" s="3"/>
      <c r="W366" s="3" t="s">
        <v>39</v>
      </c>
      <c r="X366" s="3" t="s">
        <v>41</v>
      </c>
      <c r="Y366" s="3" t="s">
        <v>41</v>
      </c>
      <c r="Z366" s="3" t="s">
        <v>42</v>
      </c>
      <c r="AA366" s="3" t="s">
        <v>49</v>
      </c>
      <c r="AB366" s="3" t="s">
        <v>40</v>
      </c>
      <c r="AC366" t="str">
        <f>IFERROR(VLOOKUP(C366,MigradosEfectivamente!B:B,1,FALSE),"No encontrado")</f>
        <v>No encontrado</v>
      </c>
    </row>
    <row r="367" spans="1:29" ht="45" x14ac:dyDescent="0.25">
      <c r="A367" s="3" t="s">
        <v>1409</v>
      </c>
      <c r="B367" s="3" t="s">
        <v>1410</v>
      </c>
      <c r="C367" s="3">
        <v>1005448346</v>
      </c>
      <c r="D367" s="3" t="s">
        <v>1411</v>
      </c>
      <c r="E367" s="3">
        <v>3187249327</v>
      </c>
      <c r="F367" s="3" t="s">
        <v>1412</v>
      </c>
      <c r="G367" s="3">
        <v>89</v>
      </c>
      <c r="H367" s="3" t="s">
        <v>59</v>
      </c>
      <c r="I367" s="3" t="s">
        <v>33</v>
      </c>
      <c r="J367" s="3" t="s">
        <v>34</v>
      </c>
      <c r="K367" s="3"/>
      <c r="L367" s="3"/>
      <c r="M367" s="3"/>
      <c r="N367" s="3" t="s">
        <v>35</v>
      </c>
      <c r="O367" s="3" t="s">
        <v>36</v>
      </c>
      <c r="P367" s="4">
        <v>45896.764074074075</v>
      </c>
      <c r="Q367" s="3">
        <v>7777777</v>
      </c>
      <c r="R367" s="3" t="s">
        <v>37</v>
      </c>
      <c r="S367" s="3"/>
      <c r="T367" s="3"/>
      <c r="U367" s="5" t="s">
        <v>38</v>
      </c>
      <c r="V367" s="3"/>
      <c r="W367" s="3" t="s">
        <v>39</v>
      </c>
      <c r="X367" s="3" t="s">
        <v>40</v>
      </c>
      <c r="Y367" s="3" t="s">
        <v>41</v>
      </c>
      <c r="Z367" s="3" t="s">
        <v>42</v>
      </c>
      <c r="AA367" s="3" t="s">
        <v>49</v>
      </c>
      <c r="AB367" s="3" t="s">
        <v>40</v>
      </c>
      <c r="AC367">
        <f>IFERROR(VLOOKUP(C367,MigradosEfectivamente!B:B,1,FALSE),"No encontrado")</f>
        <v>1005448346</v>
      </c>
    </row>
    <row r="368" spans="1:29" ht="45" x14ac:dyDescent="0.25">
      <c r="A368" s="3" t="s">
        <v>1413</v>
      </c>
      <c r="B368" s="3" t="s">
        <v>1414</v>
      </c>
      <c r="C368" s="3">
        <v>1097098669</v>
      </c>
      <c r="D368" s="3" t="s">
        <v>1415</v>
      </c>
      <c r="E368" s="3">
        <v>3107848458</v>
      </c>
      <c r="F368" s="3" t="s">
        <v>1416</v>
      </c>
      <c r="G368" s="3">
        <v>89</v>
      </c>
      <c r="H368" s="3" t="s">
        <v>110</v>
      </c>
      <c r="I368" s="3" t="s">
        <v>33</v>
      </c>
      <c r="J368" s="3" t="s">
        <v>34</v>
      </c>
      <c r="K368" s="3"/>
      <c r="L368" s="3"/>
      <c r="M368" s="3"/>
      <c r="N368" s="3" t="s">
        <v>35</v>
      </c>
      <c r="O368" s="3" t="s">
        <v>36</v>
      </c>
      <c r="P368" s="4">
        <v>45896.697152777779</v>
      </c>
      <c r="Q368" s="3">
        <v>7777777</v>
      </c>
      <c r="R368" s="3" t="s">
        <v>37</v>
      </c>
      <c r="S368" s="3"/>
      <c r="T368" s="3"/>
      <c r="U368" s="5" t="s">
        <v>38</v>
      </c>
      <c r="V368" s="3"/>
      <c r="W368" s="3" t="s">
        <v>39</v>
      </c>
      <c r="X368" s="3" t="s">
        <v>41</v>
      </c>
      <c r="Y368" s="3" t="s">
        <v>41</v>
      </c>
      <c r="Z368" s="3" t="s">
        <v>42</v>
      </c>
      <c r="AA368" s="3" t="s">
        <v>49</v>
      </c>
      <c r="AB368" s="3" t="s">
        <v>40</v>
      </c>
      <c r="AC368">
        <f>IFERROR(VLOOKUP(C368,MigradosEfectivamente!B:B,1,FALSE),"No encontrado")</f>
        <v>1097098669</v>
      </c>
    </row>
    <row r="369" spans="1:29" ht="45" x14ac:dyDescent="0.25">
      <c r="A369" s="3" t="s">
        <v>1417</v>
      </c>
      <c r="B369" s="3" t="s">
        <v>1418</v>
      </c>
      <c r="C369" s="3">
        <v>1192716330</v>
      </c>
      <c r="D369" s="3" t="s">
        <v>288</v>
      </c>
      <c r="E369" s="3">
        <v>3123551936</v>
      </c>
      <c r="F369" s="3" t="s">
        <v>1419</v>
      </c>
      <c r="G369" s="3">
        <v>89</v>
      </c>
      <c r="H369" s="3" t="s">
        <v>69</v>
      </c>
      <c r="I369" s="3" t="s">
        <v>33</v>
      </c>
      <c r="J369" s="3" t="s">
        <v>34</v>
      </c>
      <c r="K369" s="3"/>
      <c r="L369" s="3"/>
      <c r="M369" s="3"/>
      <c r="N369" s="3" t="s">
        <v>35</v>
      </c>
      <c r="O369" s="3" t="s">
        <v>36</v>
      </c>
      <c r="P369" s="4">
        <v>45896.679398148146</v>
      </c>
      <c r="Q369" s="3">
        <v>7777777</v>
      </c>
      <c r="R369" s="3" t="s">
        <v>37</v>
      </c>
      <c r="S369" s="3"/>
      <c r="T369" s="3"/>
      <c r="U369" s="5" t="s">
        <v>38</v>
      </c>
      <c r="V369" s="3"/>
      <c r="W369" s="3" t="s">
        <v>39</v>
      </c>
      <c r="X369" s="3" t="s">
        <v>41</v>
      </c>
      <c r="Y369" s="3" t="s">
        <v>41</v>
      </c>
      <c r="Z369" s="3" t="s">
        <v>70</v>
      </c>
      <c r="AA369" s="3" t="s">
        <v>49</v>
      </c>
      <c r="AB369" s="3" t="s">
        <v>41</v>
      </c>
      <c r="AC369">
        <f>IFERROR(VLOOKUP(C369,MigradosEfectivamente!B:B,1,FALSE),"No encontrado")</f>
        <v>1192716330</v>
      </c>
    </row>
    <row r="370" spans="1:29" ht="45" x14ac:dyDescent="0.25">
      <c r="A370" s="3" t="s">
        <v>1420</v>
      </c>
      <c r="B370" s="3" t="s">
        <v>1421</v>
      </c>
      <c r="C370" s="3">
        <v>1007772936</v>
      </c>
      <c r="D370" s="3" t="s">
        <v>288</v>
      </c>
      <c r="E370" s="3">
        <v>3208970735</v>
      </c>
      <c r="F370" s="3" t="s">
        <v>1422</v>
      </c>
      <c r="G370" s="3">
        <v>89</v>
      </c>
      <c r="H370" s="3" t="s">
        <v>69</v>
      </c>
      <c r="I370" s="3" t="s">
        <v>33</v>
      </c>
      <c r="J370" s="3" t="s">
        <v>34</v>
      </c>
      <c r="K370" s="3"/>
      <c r="L370" s="3"/>
      <c r="M370" s="3"/>
      <c r="N370" s="3" t="s">
        <v>35</v>
      </c>
      <c r="O370" s="3" t="s">
        <v>36</v>
      </c>
      <c r="P370" s="4">
        <v>45896.678518518522</v>
      </c>
      <c r="Q370" s="3">
        <v>7777777</v>
      </c>
      <c r="R370" s="3" t="s">
        <v>37</v>
      </c>
      <c r="S370" s="3"/>
      <c r="T370" s="3"/>
      <c r="U370" s="5" t="s">
        <v>38</v>
      </c>
      <c r="V370" s="3"/>
      <c r="W370" s="3" t="s">
        <v>39</v>
      </c>
      <c r="X370" s="3" t="s">
        <v>41</v>
      </c>
      <c r="Y370" s="3" t="s">
        <v>41</v>
      </c>
      <c r="Z370" s="3" t="s">
        <v>70</v>
      </c>
      <c r="AA370" s="3" t="s">
        <v>49</v>
      </c>
      <c r="AB370" s="3" t="s">
        <v>41</v>
      </c>
      <c r="AC370" t="str">
        <f>IFERROR(VLOOKUP(C370,MigradosEfectivamente!B:B,1,FALSE),"No encontrado")</f>
        <v>No encontrado</v>
      </c>
    </row>
    <row r="371" spans="1:29" ht="45" x14ac:dyDescent="0.25">
      <c r="A371" s="3" t="s">
        <v>1423</v>
      </c>
      <c r="B371" s="3" t="s">
        <v>1424</v>
      </c>
      <c r="C371" s="3">
        <v>1005240620</v>
      </c>
      <c r="D371" s="3" t="s">
        <v>90</v>
      </c>
      <c r="E371" s="3">
        <v>3158906547</v>
      </c>
      <c r="F371" s="3" t="s">
        <v>1425</v>
      </c>
      <c r="G371" s="3">
        <v>89</v>
      </c>
      <c r="H371" s="3" t="s">
        <v>97</v>
      </c>
      <c r="I371" s="3" t="s">
        <v>33</v>
      </c>
      <c r="J371" s="3" t="s">
        <v>34</v>
      </c>
      <c r="K371" s="3"/>
      <c r="L371" s="3"/>
      <c r="M371" s="3"/>
      <c r="N371" s="3" t="s">
        <v>35</v>
      </c>
      <c r="O371" s="3" t="s">
        <v>36</v>
      </c>
      <c r="P371" s="4">
        <v>45896.547523148147</v>
      </c>
      <c r="Q371" s="3">
        <v>7777777</v>
      </c>
      <c r="R371" s="3" t="s">
        <v>37</v>
      </c>
      <c r="S371" s="3"/>
      <c r="T371" s="3"/>
      <c r="U371" s="5" t="s">
        <v>38</v>
      </c>
      <c r="V371" s="3"/>
      <c r="W371" s="3" t="s">
        <v>39</v>
      </c>
      <c r="X371" s="3" t="s">
        <v>41</v>
      </c>
      <c r="Y371" s="3" t="s">
        <v>41</v>
      </c>
      <c r="Z371" s="3" t="s">
        <v>92</v>
      </c>
      <c r="AA371" s="3" t="s">
        <v>49</v>
      </c>
      <c r="AB371" s="3" t="s">
        <v>40</v>
      </c>
      <c r="AC371">
        <f>IFERROR(VLOOKUP(C371,MigradosEfectivamente!B:B,1,FALSE),"No encontrado")</f>
        <v>1005240620</v>
      </c>
    </row>
    <row r="372" spans="1:29" ht="45" x14ac:dyDescent="0.25">
      <c r="A372" s="3">
        <v>22975</v>
      </c>
      <c r="B372" s="3" t="s">
        <v>1426</v>
      </c>
      <c r="C372" s="3">
        <v>1005235566</v>
      </c>
      <c r="D372" s="3" t="s">
        <v>1427</v>
      </c>
      <c r="E372" s="3">
        <v>3103168141</v>
      </c>
      <c r="F372" s="3" t="s">
        <v>1428</v>
      </c>
      <c r="G372" s="3">
        <v>89</v>
      </c>
      <c r="H372" s="3" t="s">
        <v>269</v>
      </c>
      <c r="I372" s="3" t="s">
        <v>33</v>
      </c>
      <c r="J372" s="3" t="s">
        <v>34</v>
      </c>
      <c r="K372" s="3"/>
      <c r="L372" s="3"/>
      <c r="M372" s="3"/>
      <c r="N372" s="3" t="s">
        <v>35</v>
      </c>
      <c r="O372" s="3" t="s">
        <v>36</v>
      </c>
      <c r="P372" s="4">
        <v>45896.429768518516</v>
      </c>
      <c r="Q372" s="3">
        <v>7777777</v>
      </c>
      <c r="R372" s="3" t="s">
        <v>37</v>
      </c>
      <c r="S372" s="3"/>
      <c r="T372" s="3"/>
      <c r="U372" s="5" t="s">
        <v>38</v>
      </c>
      <c r="V372" s="3"/>
      <c r="W372" s="3" t="s">
        <v>39</v>
      </c>
      <c r="X372" s="3" t="s">
        <v>41</v>
      </c>
      <c r="Y372" s="3" t="s">
        <v>41</v>
      </c>
      <c r="Z372" s="3" t="s">
        <v>42</v>
      </c>
      <c r="AA372" s="3" t="s">
        <v>49</v>
      </c>
      <c r="AB372" s="3" t="s">
        <v>40</v>
      </c>
      <c r="AC372">
        <f>IFERROR(VLOOKUP(C372,MigradosEfectivamente!B:B,1,FALSE),"No encontrado")</f>
        <v>1005235566</v>
      </c>
    </row>
    <row r="373" spans="1:29" ht="60" x14ac:dyDescent="0.25">
      <c r="A373" s="3" t="s">
        <v>1429</v>
      </c>
      <c r="B373" s="3" t="s">
        <v>1430</v>
      </c>
      <c r="C373" s="3">
        <v>1193409784</v>
      </c>
      <c r="D373" s="3" t="s">
        <v>1431</v>
      </c>
      <c r="E373" s="3" t="s">
        <v>1432</v>
      </c>
      <c r="F373" s="3" t="s">
        <v>1433</v>
      </c>
      <c r="G373" s="3">
        <v>89</v>
      </c>
      <c r="H373" s="3" t="s">
        <v>69</v>
      </c>
      <c r="I373" s="3" t="s">
        <v>33</v>
      </c>
      <c r="J373" s="3" t="s">
        <v>34</v>
      </c>
      <c r="K373" s="3"/>
      <c r="L373" s="3"/>
      <c r="M373" s="3"/>
      <c r="N373" s="3" t="s">
        <v>35</v>
      </c>
      <c r="O373" s="3" t="s">
        <v>36</v>
      </c>
      <c r="P373" s="4">
        <v>45896.334953703707</v>
      </c>
      <c r="Q373" s="3">
        <v>7777777</v>
      </c>
      <c r="R373" s="3" t="s">
        <v>37</v>
      </c>
      <c r="S373" s="3"/>
      <c r="T373" s="3"/>
      <c r="U373" s="5" t="s">
        <v>38</v>
      </c>
      <c r="V373" s="3"/>
      <c r="W373" s="3" t="s">
        <v>60</v>
      </c>
      <c r="X373" s="3" t="s">
        <v>41</v>
      </c>
      <c r="Y373" s="3" t="s">
        <v>41</v>
      </c>
      <c r="Z373" s="3" t="s">
        <v>42</v>
      </c>
      <c r="AA373" s="3" t="s">
        <v>49</v>
      </c>
      <c r="AB373" s="3" t="s">
        <v>40</v>
      </c>
      <c r="AC373" t="str">
        <f>IFERROR(VLOOKUP(C373,MigradosEfectivamente!B:B,1,FALSE),"No encontrado")</f>
        <v>No encontrado</v>
      </c>
    </row>
    <row r="374" spans="1:29" ht="45" x14ac:dyDescent="0.25">
      <c r="A374" s="3" t="s">
        <v>1434</v>
      </c>
      <c r="B374" s="3" t="s">
        <v>1435</v>
      </c>
      <c r="C374" s="3">
        <v>1127341303</v>
      </c>
      <c r="D374" s="3" t="s">
        <v>288</v>
      </c>
      <c r="E374" s="3">
        <v>3053190016</v>
      </c>
      <c r="F374" s="3" t="s">
        <v>1436</v>
      </c>
      <c r="G374" s="3">
        <v>89</v>
      </c>
      <c r="H374" s="3" t="s">
        <v>136</v>
      </c>
      <c r="I374" s="3" t="s">
        <v>33</v>
      </c>
      <c r="J374" s="3" t="s">
        <v>34</v>
      </c>
      <c r="K374" s="3"/>
      <c r="L374" s="3"/>
      <c r="M374" s="3"/>
      <c r="N374" s="3" t="s">
        <v>35</v>
      </c>
      <c r="O374" s="3" t="s">
        <v>36</v>
      </c>
      <c r="P374" s="4">
        <v>45896.302245370367</v>
      </c>
      <c r="Q374" s="3">
        <v>7777777</v>
      </c>
      <c r="R374" s="3" t="s">
        <v>37</v>
      </c>
      <c r="S374" s="3"/>
      <c r="T374" s="3"/>
      <c r="U374" s="5" t="s">
        <v>38</v>
      </c>
      <c r="V374" s="3"/>
      <c r="W374" s="3" t="s">
        <v>39</v>
      </c>
      <c r="X374" s="3" t="s">
        <v>41</v>
      </c>
      <c r="Y374" s="3" t="s">
        <v>41</v>
      </c>
      <c r="Z374" s="3" t="s">
        <v>42</v>
      </c>
      <c r="AA374" s="3" t="s">
        <v>49</v>
      </c>
      <c r="AB374" s="3" t="s">
        <v>40</v>
      </c>
      <c r="AC374" t="str">
        <f>IFERROR(VLOOKUP(C374,MigradosEfectivamente!B:B,1,FALSE),"No encontrado")</f>
        <v>No encontrado</v>
      </c>
    </row>
    <row r="375" spans="1:29" ht="60" x14ac:dyDescent="0.25">
      <c r="A375" s="3" t="s">
        <v>1437</v>
      </c>
      <c r="B375" s="3" t="s">
        <v>1438</v>
      </c>
      <c r="C375" s="3">
        <v>1090534415</v>
      </c>
      <c r="D375" s="3" t="s">
        <v>1439</v>
      </c>
      <c r="E375" s="3">
        <v>3227488121</v>
      </c>
      <c r="F375" s="3" t="s">
        <v>1440</v>
      </c>
      <c r="G375" s="3">
        <v>89</v>
      </c>
      <c r="H375" s="3" t="s">
        <v>136</v>
      </c>
      <c r="I375" s="3" t="s">
        <v>33</v>
      </c>
      <c r="J375" s="3" t="s">
        <v>34</v>
      </c>
      <c r="K375" s="3"/>
      <c r="L375" s="3"/>
      <c r="M375" s="3"/>
      <c r="N375" s="3" t="s">
        <v>35</v>
      </c>
      <c r="O375" s="3" t="s">
        <v>36</v>
      </c>
      <c r="P375" s="4">
        <v>45896.302245370367</v>
      </c>
      <c r="Q375" s="3">
        <v>7777777</v>
      </c>
      <c r="R375" s="3" t="s">
        <v>37</v>
      </c>
      <c r="S375" s="3"/>
      <c r="T375" s="3"/>
      <c r="U375" s="5" t="s">
        <v>38</v>
      </c>
      <c r="V375" s="3"/>
      <c r="W375" s="3" t="s">
        <v>60</v>
      </c>
      <c r="X375" s="3" t="s">
        <v>41</v>
      </c>
      <c r="Y375" s="3" t="s">
        <v>41</v>
      </c>
      <c r="Z375" s="3" t="s">
        <v>42</v>
      </c>
      <c r="AA375" s="3" t="s">
        <v>49</v>
      </c>
      <c r="AB375" s="3" t="s">
        <v>40</v>
      </c>
      <c r="AC375">
        <f>IFERROR(VLOOKUP(C375,MigradosEfectivamente!B:B,1,FALSE),"No encontrado")</f>
        <v>1090534415</v>
      </c>
    </row>
    <row r="376" spans="1:29" ht="60" x14ac:dyDescent="0.25">
      <c r="A376" s="3" t="s">
        <v>1441</v>
      </c>
      <c r="B376" s="3" t="s">
        <v>1442</v>
      </c>
      <c r="C376" s="3">
        <v>1104137035</v>
      </c>
      <c r="D376" s="3" t="s">
        <v>1443</v>
      </c>
      <c r="E376" s="3">
        <v>3134392258</v>
      </c>
      <c r="F376" s="3" t="s">
        <v>1444</v>
      </c>
      <c r="G376" s="3">
        <v>99</v>
      </c>
      <c r="H376" s="3" t="s">
        <v>180</v>
      </c>
      <c r="I376" s="3" t="s">
        <v>82</v>
      </c>
      <c r="J376" s="3" t="s">
        <v>34</v>
      </c>
      <c r="K376" s="3"/>
      <c r="L376" s="3"/>
      <c r="M376" s="3"/>
      <c r="N376" s="3" t="s">
        <v>35</v>
      </c>
      <c r="O376" s="3" t="s">
        <v>83</v>
      </c>
      <c r="P376" s="4">
        <v>45895.878553240742</v>
      </c>
      <c r="Q376" s="3">
        <v>7777777</v>
      </c>
      <c r="R376" s="3" t="s">
        <v>37</v>
      </c>
      <c r="S376" s="3"/>
      <c r="T376" s="3"/>
      <c r="U376" s="5" t="s">
        <v>38</v>
      </c>
      <c r="V376" s="3"/>
      <c r="W376" s="3" t="s">
        <v>60</v>
      </c>
      <c r="X376" s="3" t="s">
        <v>40</v>
      </c>
      <c r="Y376" s="3" t="s">
        <v>41</v>
      </c>
      <c r="Z376" s="3" t="s">
        <v>42</v>
      </c>
      <c r="AA376" s="3" t="s">
        <v>43</v>
      </c>
      <c r="AB376" s="3" t="s">
        <v>40</v>
      </c>
      <c r="AC376" t="str">
        <f>IFERROR(VLOOKUP(C376,MigradosEfectivamente!B:B,1,FALSE),"No encontrado")</f>
        <v>No encontrado</v>
      </c>
    </row>
    <row r="377" spans="1:29" ht="60" x14ac:dyDescent="0.25">
      <c r="A377" s="3" t="s">
        <v>1445</v>
      </c>
      <c r="B377" s="3" t="s">
        <v>1446</v>
      </c>
      <c r="C377" s="3">
        <v>1095300596</v>
      </c>
      <c r="D377" s="3" t="s">
        <v>1447</v>
      </c>
      <c r="E377" s="3">
        <v>3185197630</v>
      </c>
      <c r="F377" s="3" t="s">
        <v>1448</v>
      </c>
      <c r="G377" s="3">
        <v>89</v>
      </c>
      <c r="H377" s="3" t="s">
        <v>110</v>
      </c>
      <c r="I377" s="3" t="s">
        <v>33</v>
      </c>
      <c r="J377" s="3" t="s">
        <v>34</v>
      </c>
      <c r="K377" s="3"/>
      <c r="L377" s="3"/>
      <c r="M377" s="3"/>
      <c r="N377" s="3" t="s">
        <v>35</v>
      </c>
      <c r="O377" s="3" t="s">
        <v>36</v>
      </c>
      <c r="P377" s="4">
        <v>45895.876793981479</v>
      </c>
      <c r="Q377" s="3">
        <v>7777777</v>
      </c>
      <c r="R377" s="3" t="s">
        <v>37</v>
      </c>
      <c r="S377" s="3"/>
      <c r="T377" s="3"/>
      <c r="U377" s="5" t="s">
        <v>38</v>
      </c>
      <c r="V377" s="3"/>
      <c r="W377" s="3" t="s">
        <v>60</v>
      </c>
      <c r="X377" s="3" t="s">
        <v>41</v>
      </c>
      <c r="Y377" s="3" t="s">
        <v>41</v>
      </c>
      <c r="Z377" s="3" t="s">
        <v>42</v>
      </c>
      <c r="AA377" s="3" t="s">
        <v>49</v>
      </c>
      <c r="AB377" s="3" t="s">
        <v>40</v>
      </c>
      <c r="AC377">
        <f>IFERROR(VLOOKUP(C377,MigradosEfectivamente!B:B,1,FALSE),"No encontrado")</f>
        <v>1095300596</v>
      </c>
    </row>
    <row r="378" spans="1:29" ht="45" x14ac:dyDescent="0.25">
      <c r="A378" s="3" t="s">
        <v>1449</v>
      </c>
      <c r="B378" s="3" t="s">
        <v>1450</v>
      </c>
      <c r="C378" s="3">
        <v>1090389408</v>
      </c>
      <c r="D378" s="3" t="s">
        <v>1451</v>
      </c>
      <c r="E378" s="3">
        <v>3105155003</v>
      </c>
      <c r="F378" s="3" t="s">
        <v>1452</v>
      </c>
      <c r="G378" s="3">
        <v>89</v>
      </c>
      <c r="H378" s="3" t="s">
        <v>136</v>
      </c>
      <c r="I378" s="3" t="s">
        <v>33</v>
      </c>
      <c r="J378" s="3" t="s">
        <v>34</v>
      </c>
      <c r="K378" s="3"/>
      <c r="L378" s="3"/>
      <c r="M378" s="3"/>
      <c r="N378" s="3" t="s">
        <v>35</v>
      </c>
      <c r="O378" s="3" t="s">
        <v>36</v>
      </c>
      <c r="P378" s="4">
        <v>45895.760729166665</v>
      </c>
      <c r="Q378" s="3">
        <v>7777777</v>
      </c>
      <c r="R378" s="3" t="s">
        <v>37</v>
      </c>
      <c r="S378" s="3"/>
      <c r="T378" s="3"/>
      <c r="U378" s="5" t="s">
        <v>38</v>
      </c>
      <c r="V378" s="3"/>
      <c r="W378" s="3" t="s">
        <v>39</v>
      </c>
      <c r="X378" s="3" t="s">
        <v>41</v>
      </c>
      <c r="Y378" s="3" t="s">
        <v>41</v>
      </c>
      <c r="Z378" s="3" t="s">
        <v>42</v>
      </c>
      <c r="AA378" s="3" t="s">
        <v>43</v>
      </c>
      <c r="AB378" s="3" t="s">
        <v>40</v>
      </c>
      <c r="AC378">
        <f>IFERROR(VLOOKUP(C378,MigradosEfectivamente!B:B,1,FALSE),"No encontrado")</f>
        <v>1090389408</v>
      </c>
    </row>
    <row r="379" spans="1:29" ht="60" x14ac:dyDescent="0.25">
      <c r="A379" s="3" t="s">
        <v>1453</v>
      </c>
      <c r="B379" s="3" t="s">
        <v>1454</v>
      </c>
      <c r="C379" s="3">
        <v>1090440665</v>
      </c>
      <c r="D379" s="3" t="s">
        <v>1455</v>
      </c>
      <c r="E379" s="3">
        <v>3144053474</v>
      </c>
      <c r="F379" s="3" t="s">
        <v>1456</v>
      </c>
      <c r="G379" s="3">
        <v>89</v>
      </c>
      <c r="H379" s="3" t="s">
        <v>69</v>
      </c>
      <c r="I379" s="3" t="s">
        <v>33</v>
      </c>
      <c r="J379" s="3" t="s">
        <v>34</v>
      </c>
      <c r="K379" s="3"/>
      <c r="L379" s="3"/>
      <c r="M379" s="3"/>
      <c r="N379" s="3" t="s">
        <v>35</v>
      </c>
      <c r="O379" s="3" t="s">
        <v>36</v>
      </c>
      <c r="P379" s="4">
        <v>45895.738738425927</v>
      </c>
      <c r="Q379" s="3">
        <v>7777777</v>
      </c>
      <c r="R379" s="3" t="s">
        <v>37</v>
      </c>
      <c r="S379" s="3"/>
      <c r="T379" s="3"/>
      <c r="U379" s="5" t="s">
        <v>38</v>
      </c>
      <c r="V379" s="3"/>
      <c r="W379" s="3" t="s">
        <v>60</v>
      </c>
      <c r="X379" s="3" t="s">
        <v>40</v>
      </c>
      <c r="Y379" s="3" t="s">
        <v>41</v>
      </c>
      <c r="Z379" s="3" t="s">
        <v>42</v>
      </c>
      <c r="AA379" s="3" t="s">
        <v>49</v>
      </c>
      <c r="AB379" s="3" t="s">
        <v>40</v>
      </c>
      <c r="AC379" t="str">
        <f>IFERROR(VLOOKUP(C379,MigradosEfectivamente!B:B,1,FALSE),"No encontrado")</f>
        <v>No encontrado</v>
      </c>
    </row>
    <row r="380" spans="1:29" ht="60" x14ac:dyDescent="0.25">
      <c r="A380" s="3" t="s">
        <v>1457</v>
      </c>
      <c r="B380" s="3" t="s">
        <v>1458</v>
      </c>
      <c r="C380" s="3">
        <v>1005281651</v>
      </c>
      <c r="D380" s="3" t="s">
        <v>1459</v>
      </c>
      <c r="E380" s="3">
        <v>3025118581</v>
      </c>
      <c r="F380" s="3" t="s">
        <v>1460</v>
      </c>
      <c r="G380" s="3">
        <v>89</v>
      </c>
      <c r="H380" s="3" t="s">
        <v>110</v>
      </c>
      <c r="I380" s="3" t="s">
        <v>119</v>
      </c>
      <c r="J380" s="3" t="s">
        <v>34</v>
      </c>
      <c r="K380" s="3"/>
      <c r="L380" s="3"/>
      <c r="M380" s="3"/>
      <c r="N380" s="3" t="s">
        <v>35</v>
      </c>
      <c r="O380" s="3" t="s">
        <v>36</v>
      </c>
      <c r="P380" s="4">
        <v>45895.585995370369</v>
      </c>
      <c r="Q380" s="3">
        <v>7777777</v>
      </c>
      <c r="R380" s="3" t="s">
        <v>37</v>
      </c>
      <c r="S380" s="3"/>
      <c r="T380" s="3"/>
      <c r="U380" s="5" t="s">
        <v>38</v>
      </c>
      <c r="V380" s="3"/>
      <c r="W380" s="3" t="s">
        <v>60</v>
      </c>
      <c r="X380" s="3" t="s">
        <v>41</v>
      </c>
      <c r="Y380" s="3" t="s">
        <v>40</v>
      </c>
      <c r="Z380" s="3" t="s">
        <v>42</v>
      </c>
      <c r="AA380" s="3" t="s">
        <v>49</v>
      </c>
      <c r="AB380" s="3" t="s">
        <v>40</v>
      </c>
      <c r="AC380">
        <f>IFERROR(VLOOKUP(C380,MigradosEfectivamente!B:B,1,FALSE),"No encontrado")</f>
        <v>1005281651</v>
      </c>
    </row>
    <row r="381" spans="1:29" ht="60" x14ac:dyDescent="0.25">
      <c r="A381" s="3" t="s">
        <v>1461</v>
      </c>
      <c r="B381" s="3" t="s">
        <v>1462</v>
      </c>
      <c r="C381" s="3">
        <v>1097493921</v>
      </c>
      <c r="D381" s="3" t="s">
        <v>1463</v>
      </c>
      <c r="E381" s="3">
        <v>3183923364</v>
      </c>
      <c r="F381" s="3" t="s">
        <v>1464</v>
      </c>
      <c r="G381" s="3">
        <v>89</v>
      </c>
      <c r="H381" s="3" t="s">
        <v>110</v>
      </c>
      <c r="I381" s="3" t="s">
        <v>119</v>
      </c>
      <c r="J381" s="3" t="s">
        <v>34</v>
      </c>
      <c r="K381" s="3"/>
      <c r="L381" s="3"/>
      <c r="M381" s="3"/>
      <c r="N381" s="3" t="s">
        <v>35</v>
      </c>
      <c r="O381" s="3" t="s">
        <v>36</v>
      </c>
      <c r="P381" s="4">
        <v>45895.584155092591</v>
      </c>
      <c r="Q381" s="3">
        <v>7777777</v>
      </c>
      <c r="R381" s="3" t="s">
        <v>37</v>
      </c>
      <c r="S381" s="3"/>
      <c r="T381" s="3"/>
      <c r="U381" s="5" t="s">
        <v>38</v>
      </c>
      <c r="V381" s="3"/>
      <c r="W381" s="3" t="s">
        <v>60</v>
      </c>
      <c r="X381" s="3" t="s">
        <v>41</v>
      </c>
      <c r="Y381" s="3" t="s">
        <v>41</v>
      </c>
      <c r="Z381" s="3" t="s">
        <v>42</v>
      </c>
      <c r="AA381" s="3" t="s">
        <v>49</v>
      </c>
      <c r="AB381" s="3" t="s">
        <v>40</v>
      </c>
      <c r="AC381" t="str">
        <f>IFERROR(VLOOKUP(C381,MigradosEfectivamente!B:B,1,FALSE),"No encontrado")</f>
        <v>No encontrado</v>
      </c>
    </row>
    <row r="382" spans="1:29" ht="45" x14ac:dyDescent="0.25">
      <c r="A382" s="3" t="s">
        <v>1465</v>
      </c>
      <c r="B382" s="3" t="s">
        <v>1466</v>
      </c>
      <c r="C382" s="3">
        <v>1098805241</v>
      </c>
      <c r="D382" s="3" t="s">
        <v>108</v>
      </c>
      <c r="E382" s="3">
        <v>3002576915</v>
      </c>
      <c r="F382" s="3" t="s">
        <v>1467</v>
      </c>
      <c r="G382" s="3">
        <v>89</v>
      </c>
      <c r="H382" s="3" t="s">
        <v>97</v>
      </c>
      <c r="I382" s="3" t="s">
        <v>33</v>
      </c>
      <c r="J382" s="3" t="s">
        <v>34</v>
      </c>
      <c r="K382" s="3"/>
      <c r="L382" s="3"/>
      <c r="M382" s="3"/>
      <c r="N382" s="3" t="s">
        <v>35</v>
      </c>
      <c r="O382" s="3" t="s">
        <v>36</v>
      </c>
      <c r="P382" s="4">
        <v>45895.481412037036</v>
      </c>
      <c r="Q382" s="3">
        <v>7777777</v>
      </c>
      <c r="R382" s="3" t="s">
        <v>37</v>
      </c>
      <c r="S382" s="3"/>
      <c r="T382" s="3"/>
      <c r="U382" s="5" t="s">
        <v>38</v>
      </c>
      <c r="V382" s="3"/>
      <c r="W382" s="3" t="s">
        <v>39</v>
      </c>
      <c r="X382" s="3" t="s">
        <v>41</v>
      </c>
      <c r="Y382" s="3" t="s">
        <v>41</v>
      </c>
      <c r="Z382" s="3" t="s">
        <v>70</v>
      </c>
      <c r="AA382" s="3" t="s">
        <v>43</v>
      </c>
      <c r="AB382" s="3" t="s">
        <v>41</v>
      </c>
      <c r="AC382">
        <f>IFERROR(VLOOKUP(C382,MigradosEfectivamente!B:B,1,FALSE),"No encontrado")</f>
        <v>1098805241</v>
      </c>
    </row>
    <row r="383" spans="1:29" ht="45" x14ac:dyDescent="0.25">
      <c r="A383" s="3" t="s">
        <v>1468</v>
      </c>
      <c r="B383" s="3" t="s">
        <v>1469</v>
      </c>
      <c r="C383" s="3">
        <v>1005083893</v>
      </c>
      <c r="D383" s="3" t="s">
        <v>104</v>
      </c>
      <c r="E383" s="3" t="s">
        <v>1470</v>
      </c>
      <c r="F383" s="3" t="s">
        <v>1471</v>
      </c>
      <c r="G383" s="3">
        <v>89</v>
      </c>
      <c r="H383" s="3" t="s">
        <v>110</v>
      </c>
      <c r="I383" s="3" t="s">
        <v>33</v>
      </c>
      <c r="J383" s="3" t="s">
        <v>34</v>
      </c>
      <c r="K383" s="3"/>
      <c r="L383" s="3"/>
      <c r="M383" s="3"/>
      <c r="N383" s="3" t="s">
        <v>35</v>
      </c>
      <c r="O383" s="3" t="s">
        <v>36</v>
      </c>
      <c r="P383" s="4">
        <v>45895.474594907406</v>
      </c>
      <c r="Q383" s="3">
        <v>7777777</v>
      </c>
      <c r="R383" s="3" t="s">
        <v>37</v>
      </c>
      <c r="S383" s="3"/>
      <c r="T383" s="3"/>
      <c r="U383" s="5" t="s">
        <v>38</v>
      </c>
      <c r="V383" s="3"/>
      <c r="W383" s="3" t="s">
        <v>39</v>
      </c>
      <c r="X383" s="3" t="s">
        <v>41</v>
      </c>
      <c r="Y383" s="3" t="s">
        <v>41</v>
      </c>
      <c r="Z383" s="3" t="s">
        <v>92</v>
      </c>
      <c r="AA383" s="3" t="s">
        <v>49</v>
      </c>
      <c r="AB383" s="3" t="s">
        <v>40</v>
      </c>
      <c r="AC383">
        <f>IFERROR(VLOOKUP(C383,MigradosEfectivamente!B:B,1,FALSE),"No encontrado")</f>
        <v>1005083893</v>
      </c>
    </row>
    <row r="384" spans="1:29" ht="45" x14ac:dyDescent="0.25">
      <c r="A384" s="3" t="s">
        <v>1472</v>
      </c>
      <c r="B384" s="3" t="s">
        <v>1473</v>
      </c>
      <c r="C384" s="3">
        <v>1092357220</v>
      </c>
      <c r="D384" s="3" t="s">
        <v>1474</v>
      </c>
      <c r="E384" s="3">
        <v>3212273651</v>
      </c>
      <c r="F384" s="3" t="s">
        <v>234</v>
      </c>
      <c r="G384" s="3">
        <v>99</v>
      </c>
      <c r="H384" s="3" t="s">
        <v>136</v>
      </c>
      <c r="I384" s="3" t="s">
        <v>82</v>
      </c>
      <c r="J384" s="3" t="s">
        <v>34</v>
      </c>
      <c r="K384" s="3"/>
      <c r="L384" s="3"/>
      <c r="M384" s="3"/>
      <c r="N384" s="3" t="s">
        <v>35</v>
      </c>
      <c r="O384" s="3" t="s">
        <v>83</v>
      </c>
      <c r="P384" s="4">
        <v>45895.426053240742</v>
      </c>
      <c r="Q384" s="3">
        <v>7777777</v>
      </c>
      <c r="R384" s="3" t="s">
        <v>37</v>
      </c>
      <c r="S384" s="3"/>
      <c r="T384" s="3"/>
      <c r="U384" s="5" t="s">
        <v>38</v>
      </c>
      <c r="V384" s="3"/>
      <c r="W384" s="3" t="s">
        <v>39</v>
      </c>
      <c r="X384" s="3" t="s">
        <v>40</v>
      </c>
      <c r="Y384" s="3" t="s">
        <v>41</v>
      </c>
      <c r="Z384" s="3" t="s">
        <v>42</v>
      </c>
      <c r="AA384" s="3" t="s">
        <v>43</v>
      </c>
      <c r="AB384" s="3" t="s">
        <v>40</v>
      </c>
      <c r="AC384" t="str">
        <f>IFERROR(VLOOKUP(C384,MigradosEfectivamente!B:B,1,FALSE),"No encontrado")</f>
        <v>No encontrado</v>
      </c>
    </row>
    <row r="385" spans="1:29" ht="60" x14ac:dyDescent="0.25">
      <c r="A385" s="3" t="s">
        <v>1475</v>
      </c>
      <c r="B385" s="3" t="s">
        <v>1476</v>
      </c>
      <c r="C385" s="3">
        <v>1098810614</v>
      </c>
      <c r="D385" s="3" t="s">
        <v>104</v>
      </c>
      <c r="E385" s="3" t="s">
        <v>1477</v>
      </c>
      <c r="F385" s="3" t="s">
        <v>1478</v>
      </c>
      <c r="G385" s="3">
        <v>99</v>
      </c>
      <c r="H385" s="3" t="s">
        <v>110</v>
      </c>
      <c r="I385" s="3" t="s">
        <v>82</v>
      </c>
      <c r="J385" s="3" t="s">
        <v>34</v>
      </c>
      <c r="K385" s="3"/>
      <c r="L385" s="3"/>
      <c r="M385" s="3"/>
      <c r="N385" s="3" t="s">
        <v>35</v>
      </c>
      <c r="O385" s="3" t="s">
        <v>83</v>
      </c>
      <c r="P385" s="4">
        <v>45895.407372685186</v>
      </c>
      <c r="Q385" s="3">
        <v>7777777</v>
      </c>
      <c r="R385" s="3" t="s">
        <v>37</v>
      </c>
      <c r="S385" s="3"/>
      <c r="T385" s="3"/>
      <c r="U385" s="5" t="s">
        <v>38</v>
      </c>
      <c r="V385" s="3"/>
      <c r="W385" s="3" t="s">
        <v>60</v>
      </c>
      <c r="X385" s="3" t="s">
        <v>41</v>
      </c>
      <c r="Y385" s="3" t="s">
        <v>41</v>
      </c>
      <c r="Z385" s="3" t="s">
        <v>42</v>
      </c>
      <c r="AA385" s="3" t="s">
        <v>49</v>
      </c>
      <c r="AB385" s="3" t="s">
        <v>40</v>
      </c>
      <c r="AC385">
        <f>IFERROR(VLOOKUP(C385,MigradosEfectivamente!B:B,1,FALSE),"No encontrado")</f>
        <v>1098810614</v>
      </c>
    </row>
    <row r="386" spans="1:29" ht="45" x14ac:dyDescent="0.25">
      <c r="A386" s="3" t="s">
        <v>1479</v>
      </c>
      <c r="B386" s="3" t="s">
        <v>1480</v>
      </c>
      <c r="C386" s="3">
        <v>1124021170</v>
      </c>
      <c r="D386" s="3" t="s">
        <v>1481</v>
      </c>
      <c r="E386" s="3">
        <v>3123269073</v>
      </c>
      <c r="F386" s="3" t="s">
        <v>1482</v>
      </c>
      <c r="G386" s="3">
        <v>89</v>
      </c>
      <c r="H386" s="3" t="s">
        <v>32</v>
      </c>
      <c r="I386" s="3" t="s">
        <v>33</v>
      </c>
      <c r="J386" s="3" t="s">
        <v>34</v>
      </c>
      <c r="K386" s="3"/>
      <c r="L386" s="3"/>
      <c r="M386" s="3"/>
      <c r="N386" s="3" t="s">
        <v>35</v>
      </c>
      <c r="O386" s="3" t="s">
        <v>36</v>
      </c>
      <c r="P386" s="4">
        <v>45894.778298611112</v>
      </c>
      <c r="Q386" s="3">
        <v>7777777</v>
      </c>
      <c r="R386" s="3" t="s">
        <v>37</v>
      </c>
      <c r="S386" s="3"/>
      <c r="T386" s="3"/>
      <c r="U386" s="5" t="s">
        <v>38</v>
      </c>
      <c r="V386" s="3"/>
      <c r="W386" s="3" t="s">
        <v>39</v>
      </c>
      <c r="X386" s="3" t="s">
        <v>41</v>
      </c>
      <c r="Y386" s="3" t="s">
        <v>40</v>
      </c>
      <c r="Z386" s="3" t="s">
        <v>42</v>
      </c>
      <c r="AA386" s="3" t="s">
        <v>43</v>
      </c>
      <c r="AB386" s="3" t="s">
        <v>40</v>
      </c>
      <c r="AC386">
        <f>IFERROR(VLOOKUP(C386,MigradosEfectivamente!B:B,1,FALSE),"No encontrado")</f>
        <v>1124021170</v>
      </c>
    </row>
    <row r="387" spans="1:29" ht="45" x14ac:dyDescent="0.25">
      <c r="A387" s="3" t="s">
        <v>1483</v>
      </c>
      <c r="B387" s="3" t="s">
        <v>1484</v>
      </c>
      <c r="C387" s="3">
        <v>1092525417</v>
      </c>
      <c r="D387" s="3" t="s">
        <v>1485</v>
      </c>
      <c r="E387" s="3">
        <v>3223267026</v>
      </c>
      <c r="F387" s="3" t="s">
        <v>1485</v>
      </c>
      <c r="G387" s="3">
        <v>89</v>
      </c>
      <c r="H387" s="3" t="s">
        <v>136</v>
      </c>
      <c r="I387" s="3" t="s">
        <v>33</v>
      </c>
      <c r="J387" s="3" t="s">
        <v>34</v>
      </c>
      <c r="K387" s="3"/>
      <c r="L387" s="3"/>
      <c r="M387" s="3"/>
      <c r="N387" s="3" t="s">
        <v>35</v>
      </c>
      <c r="O387" s="3" t="s">
        <v>36</v>
      </c>
      <c r="P387" s="4">
        <v>45894.776539351849</v>
      </c>
      <c r="Q387" s="3">
        <v>7777777</v>
      </c>
      <c r="R387" s="3" t="s">
        <v>37</v>
      </c>
      <c r="S387" s="3"/>
      <c r="T387" s="3"/>
      <c r="U387" s="5" t="s">
        <v>38</v>
      </c>
      <c r="V387" s="3"/>
      <c r="W387" s="3" t="s">
        <v>39</v>
      </c>
      <c r="X387" s="3" t="s">
        <v>40</v>
      </c>
      <c r="Y387" s="3" t="s">
        <v>40</v>
      </c>
      <c r="Z387" s="3" t="s">
        <v>70</v>
      </c>
      <c r="AA387" s="3" t="s">
        <v>43</v>
      </c>
      <c r="AB387" s="3" t="s">
        <v>40</v>
      </c>
      <c r="AC387" t="str">
        <f>IFERROR(VLOOKUP(C387,MigradosEfectivamente!B:B,1,FALSE),"No encontrado")</f>
        <v>No encontrado</v>
      </c>
    </row>
    <row r="388" spans="1:29" ht="45" x14ac:dyDescent="0.25">
      <c r="A388" s="3" t="s">
        <v>1486</v>
      </c>
      <c r="B388" s="3" t="s">
        <v>1487</v>
      </c>
      <c r="C388" s="3">
        <v>1093294453</v>
      </c>
      <c r="D388" s="3" t="s">
        <v>1488</v>
      </c>
      <c r="E388" s="3">
        <v>3004428538</v>
      </c>
      <c r="F388" s="3" t="s">
        <v>1489</v>
      </c>
      <c r="G388" s="3">
        <v>89</v>
      </c>
      <c r="H388" s="3" t="s">
        <v>136</v>
      </c>
      <c r="I388" s="3" t="s">
        <v>33</v>
      </c>
      <c r="J388" s="3" t="s">
        <v>34</v>
      </c>
      <c r="K388" s="3"/>
      <c r="L388" s="3"/>
      <c r="M388" s="3"/>
      <c r="N388" s="3" t="s">
        <v>35</v>
      </c>
      <c r="O388" s="3" t="s">
        <v>36</v>
      </c>
      <c r="P388" s="4">
        <v>45894.767048611109</v>
      </c>
      <c r="Q388" s="3">
        <v>7777777</v>
      </c>
      <c r="R388" s="3" t="s">
        <v>37</v>
      </c>
      <c r="S388" s="3"/>
      <c r="T388" s="3"/>
      <c r="U388" s="5" t="s">
        <v>38</v>
      </c>
      <c r="V388" s="3"/>
      <c r="W388" s="3" t="s">
        <v>39</v>
      </c>
      <c r="X388" s="3" t="s">
        <v>40</v>
      </c>
      <c r="Y388" s="3" t="s">
        <v>41</v>
      </c>
      <c r="Z388" s="3" t="s">
        <v>92</v>
      </c>
      <c r="AA388" s="3" t="s">
        <v>43</v>
      </c>
      <c r="AB388" s="3" t="s">
        <v>40</v>
      </c>
      <c r="AC388" t="str">
        <f>IFERROR(VLOOKUP(C388,MigradosEfectivamente!B:B,1,FALSE),"No encontrado")</f>
        <v>No encontrado</v>
      </c>
    </row>
    <row r="389" spans="1:29" ht="45" x14ac:dyDescent="0.25">
      <c r="A389" s="3" t="s">
        <v>1490</v>
      </c>
      <c r="B389" s="3" t="s">
        <v>1491</v>
      </c>
      <c r="C389" s="3">
        <v>1093796478</v>
      </c>
      <c r="D389" s="3" t="s">
        <v>108</v>
      </c>
      <c r="E389" s="3" t="s">
        <v>1492</v>
      </c>
      <c r="F389" s="3" t="s">
        <v>1493</v>
      </c>
      <c r="G389" s="3">
        <v>89</v>
      </c>
      <c r="H389" s="3" t="s">
        <v>110</v>
      </c>
      <c r="I389" s="3" t="s">
        <v>33</v>
      </c>
      <c r="J389" s="3" t="s">
        <v>34</v>
      </c>
      <c r="K389" s="3"/>
      <c r="L389" s="3"/>
      <c r="M389" s="3"/>
      <c r="N389" s="3" t="s">
        <v>35</v>
      </c>
      <c r="O389" s="3" t="s">
        <v>36</v>
      </c>
      <c r="P389" s="4">
        <v>45894.735266203701</v>
      </c>
      <c r="Q389" s="3">
        <v>7777777</v>
      </c>
      <c r="R389" s="3" t="s">
        <v>37</v>
      </c>
      <c r="S389" s="3"/>
      <c r="T389" s="3"/>
      <c r="U389" s="5" t="s">
        <v>38</v>
      </c>
      <c r="V389" s="3"/>
      <c r="W389" s="3" t="s">
        <v>39</v>
      </c>
      <c r="X389" s="3" t="s">
        <v>41</v>
      </c>
      <c r="Y389" s="3" t="s">
        <v>41</v>
      </c>
      <c r="Z389" s="3" t="s">
        <v>70</v>
      </c>
      <c r="AA389" s="3" t="s">
        <v>49</v>
      </c>
      <c r="AB389" s="3" t="s">
        <v>41</v>
      </c>
      <c r="AC389">
        <f>IFERROR(VLOOKUP(C389,MigradosEfectivamente!B:B,1,FALSE),"No encontrado")</f>
        <v>1093796478</v>
      </c>
    </row>
    <row r="390" spans="1:29" ht="45" x14ac:dyDescent="0.25">
      <c r="A390" s="3" t="s">
        <v>1494</v>
      </c>
      <c r="B390" s="3" t="s">
        <v>1495</v>
      </c>
      <c r="C390" s="3">
        <v>1102714541</v>
      </c>
      <c r="D390" s="3" t="s">
        <v>1496</v>
      </c>
      <c r="E390" s="3">
        <v>3175569948</v>
      </c>
      <c r="F390" s="3" t="s">
        <v>1497</v>
      </c>
      <c r="G390" s="3">
        <v>89</v>
      </c>
      <c r="H390" s="3" t="s">
        <v>110</v>
      </c>
      <c r="I390" s="3" t="s">
        <v>33</v>
      </c>
      <c r="J390" s="3" t="s">
        <v>34</v>
      </c>
      <c r="K390" s="3"/>
      <c r="L390" s="3"/>
      <c r="M390" s="3"/>
      <c r="N390" s="3" t="s">
        <v>35</v>
      </c>
      <c r="O390" s="3" t="s">
        <v>36</v>
      </c>
      <c r="P390" s="4">
        <v>45894.712685185186</v>
      </c>
      <c r="Q390" s="3">
        <v>7777777</v>
      </c>
      <c r="R390" s="3" t="s">
        <v>37</v>
      </c>
      <c r="S390" s="3"/>
      <c r="T390" s="3"/>
      <c r="U390" s="5" t="s">
        <v>38</v>
      </c>
      <c r="V390" s="3"/>
      <c r="W390" s="3" t="s">
        <v>39</v>
      </c>
      <c r="X390" s="3" t="s">
        <v>41</v>
      </c>
      <c r="Y390" s="3" t="s">
        <v>41</v>
      </c>
      <c r="Z390" s="3" t="s">
        <v>42</v>
      </c>
      <c r="AA390" s="3" t="s">
        <v>49</v>
      </c>
      <c r="AB390" s="3" t="s">
        <v>41</v>
      </c>
      <c r="AC390">
        <f>IFERROR(VLOOKUP(C390,MigradosEfectivamente!B:B,1,FALSE),"No encontrado")</f>
        <v>1102714541</v>
      </c>
    </row>
    <row r="391" spans="1:29" ht="45" x14ac:dyDescent="0.25">
      <c r="A391" s="3">
        <v>22957</v>
      </c>
      <c r="B391" s="3" t="s">
        <v>1498</v>
      </c>
      <c r="C391" s="3">
        <v>1098711238</v>
      </c>
      <c r="D391" s="3" t="s">
        <v>670</v>
      </c>
      <c r="E391" s="3">
        <v>3160438164</v>
      </c>
      <c r="F391" s="3" t="s">
        <v>1499</v>
      </c>
      <c r="G391" s="3">
        <v>89</v>
      </c>
      <c r="H391" s="3" t="s">
        <v>269</v>
      </c>
      <c r="I391" s="3" t="s">
        <v>33</v>
      </c>
      <c r="J391" s="3" t="s">
        <v>34</v>
      </c>
      <c r="K391" s="3"/>
      <c r="L391" s="3"/>
      <c r="M391" s="3"/>
      <c r="N391" s="3" t="s">
        <v>35</v>
      </c>
      <c r="O391" s="3" t="s">
        <v>36</v>
      </c>
      <c r="P391" s="4">
        <v>45894.696747685186</v>
      </c>
      <c r="Q391" s="3">
        <v>7777777</v>
      </c>
      <c r="R391" s="3" t="s">
        <v>37</v>
      </c>
      <c r="S391" s="3"/>
      <c r="T391" s="3"/>
      <c r="U391" s="5" t="s">
        <v>38</v>
      </c>
      <c r="V391" s="3"/>
      <c r="W391" s="3" t="s">
        <v>39</v>
      </c>
      <c r="X391" s="3" t="s">
        <v>40</v>
      </c>
      <c r="Y391" s="3" t="s">
        <v>41</v>
      </c>
      <c r="Z391" s="3" t="s">
        <v>92</v>
      </c>
      <c r="AA391" s="3" t="s">
        <v>49</v>
      </c>
      <c r="AB391" s="3" t="s">
        <v>41</v>
      </c>
      <c r="AC391">
        <f>IFERROR(VLOOKUP(C391,MigradosEfectivamente!B:B,1,FALSE),"No encontrado")</f>
        <v>1098711238</v>
      </c>
    </row>
    <row r="392" spans="1:29" ht="45" x14ac:dyDescent="0.25">
      <c r="A392" s="3" t="s">
        <v>1500</v>
      </c>
      <c r="B392" s="3" t="s">
        <v>1501</v>
      </c>
      <c r="C392" s="3">
        <v>1126909094</v>
      </c>
      <c r="D392" s="3" t="s">
        <v>288</v>
      </c>
      <c r="E392" s="3" t="s">
        <v>1502</v>
      </c>
      <c r="F392" s="3" t="s">
        <v>1503</v>
      </c>
      <c r="G392" s="3">
        <v>89</v>
      </c>
      <c r="H392" s="3" t="s">
        <v>136</v>
      </c>
      <c r="I392" s="3" t="s">
        <v>33</v>
      </c>
      <c r="J392" s="3" t="s">
        <v>34</v>
      </c>
      <c r="K392" s="3"/>
      <c r="L392" s="3"/>
      <c r="M392" s="3"/>
      <c r="N392" s="3" t="s">
        <v>35</v>
      </c>
      <c r="O392" s="3" t="s">
        <v>36</v>
      </c>
      <c r="P392" s="4">
        <v>45894.650289351855</v>
      </c>
      <c r="Q392" s="3">
        <v>7777777</v>
      </c>
      <c r="R392" s="3" t="s">
        <v>37</v>
      </c>
      <c r="S392" s="3"/>
      <c r="T392" s="3"/>
      <c r="U392" s="5" t="s">
        <v>38</v>
      </c>
      <c r="V392" s="3"/>
      <c r="W392" s="3" t="s">
        <v>39</v>
      </c>
      <c r="X392" s="3" t="s">
        <v>41</v>
      </c>
      <c r="Y392" s="3" t="s">
        <v>41</v>
      </c>
      <c r="Z392" s="3" t="s">
        <v>42</v>
      </c>
      <c r="AA392" s="3" t="s">
        <v>43</v>
      </c>
      <c r="AB392" s="3" t="s">
        <v>40</v>
      </c>
      <c r="AC392">
        <f>IFERROR(VLOOKUP(C392,MigradosEfectivamente!B:B,1,FALSE),"No encontrado")</f>
        <v>1126909094</v>
      </c>
    </row>
    <row r="393" spans="1:29" ht="60" x14ac:dyDescent="0.25">
      <c r="A393" s="3" t="s">
        <v>1504</v>
      </c>
      <c r="B393" s="3" t="s">
        <v>1505</v>
      </c>
      <c r="C393" s="3">
        <v>13514274</v>
      </c>
      <c r="D393" s="3" t="s">
        <v>1506</v>
      </c>
      <c r="E393" s="3">
        <v>3043891236</v>
      </c>
      <c r="F393" s="3" t="s">
        <v>1507</v>
      </c>
      <c r="G393" s="3">
        <v>89</v>
      </c>
      <c r="H393" s="3" t="s">
        <v>54</v>
      </c>
      <c r="I393" s="3" t="s">
        <v>33</v>
      </c>
      <c r="J393" s="3" t="s">
        <v>34</v>
      </c>
      <c r="K393" s="3"/>
      <c r="L393" s="3"/>
      <c r="M393" s="3"/>
      <c r="N393" s="3" t="s">
        <v>35</v>
      </c>
      <c r="O393" s="3" t="s">
        <v>36</v>
      </c>
      <c r="P393" s="4">
        <v>45894.587500000001</v>
      </c>
      <c r="Q393" s="3">
        <v>7777777</v>
      </c>
      <c r="R393" s="3" t="s">
        <v>37</v>
      </c>
      <c r="S393" s="3"/>
      <c r="T393" s="3"/>
      <c r="U393" s="5" t="s">
        <v>38</v>
      </c>
      <c r="V393" s="3"/>
      <c r="W393" s="3" t="s">
        <v>60</v>
      </c>
      <c r="X393" s="3" t="s">
        <v>40</v>
      </c>
      <c r="Y393" s="3" t="s">
        <v>41</v>
      </c>
      <c r="Z393" s="3" t="s">
        <v>70</v>
      </c>
      <c r="AA393" s="3" t="s">
        <v>43</v>
      </c>
      <c r="AB393" s="3" t="s">
        <v>40</v>
      </c>
      <c r="AC393" t="str">
        <f>IFERROR(VLOOKUP(C393,MigradosEfectivamente!B:B,1,FALSE),"No encontrado")</f>
        <v>No encontrado</v>
      </c>
    </row>
    <row r="394" spans="1:29" ht="60" x14ac:dyDescent="0.25">
      <c r="A394" s="3" t="s">
        <v>1508</v>
      </c>
      <c r="B394" s="3" t="s">
        <v>1509</v>
      </c>
      <c r="C394" s="3">
        <v>37843916</v>
      </c>
      <c r="D394" s="3" t="s">
        <v>1510</v>
      </c>
      <c r="E394" s="3">
        <v>3184084105</v>
      </c>
      <c r="F394" s="3" t="s">
        <v>1511</v>
      </c>
      <c r="G394" s="3">
        <v>89</v>
      </c>
      <c r="H394" s="3" t="s">
        <v>54</v>
      </c>
      <c r="I394" s="3" t="s">
        <v>33</v>
      </c>
      <c r="J394" s="3" t="s">
        <v>34</v>
      </c>
      <c r="K394" s="3"/>
      <c r="L394" s="3"/>
      <c r="M394" s="3"/>
      <c r="N394" s="3" t="s">
        <v>35</v>
      </c>
      <c r="O394" s="3" t="s">
        <v>36</v>
      </c>
      <c r="P394" s="4">
        <v>45894.585185185184</v>
      </c>
      <c r="Q394" s="3">
        <v>7777777</v>
      </c>
      <c r="R394" s="3" t="s">
        <v>37</v>
      </c>
      <c r="S394" s="3"/>
      <c r="T394" s="3"/>
      <c r="U394" s="5" t="s">
        <v>38</v>
      </c>
      <c r="V394" s="3"/>
      <c r="W394" s="3" t="s">
        <v>60</v>
      </c>
      <c r="X394" s="3" t="s">
        <v>41</v>
      </c>
      <c r="Y394" s="3" t="s">
        <v>41</v>
      </c>
      <c r="Z394" s="3" t="s">
        <v>42</v>
      </c>
      <c r="AA394" s="3" t="s">
        <v>43</v>
      </c>
      <c r="AB394" s="3" t="s">
        <v>40</v>
      </c>
      <c r="AC394">
        <f>IFERROR(VLOOKUP(C394,MigradosEfectivamente!B:B,1,FALSE),"No encontrado")</f>
        <v>37843916</v>
      </c>
    </row>
    <row r="395" spans="1:29" ht="60" x14ac:dyDescent="0.25">
      <c r="A395" s="3" t="s">
        <v>1512</v>
      </c>
      <c r="B395" s="3" t="s">
        <v>1513</v>
      </c>
      <c r="C395" s="3">
        <v>1098742789</v>
      </c>
      <c r="D395" s="3" t="s">
        <v>623</v>
      </c>
      <c r="E395" s="3">
        <v>3144830332</v>
      </c>
      <c r="F395" s="3" t="s">
        <v>1514</v>
      </c>
      <c r="G395" s="3">
        <v>99</v>
      </c>
      <c r="H395" s="3" t="s">
        <v>48</v>
      </c>
      <c r="I395" s="3" t="s">
        <v>82</v>
      </c>
      <c r="J395" s="3" t="s">
        <v>34</v>
      </c>
      <c r="K395" s="3"/>
      <c r="L395" s="3"/>
      <c r="M395" s="3"/>
      <c r="N395" s="3" t="s">
        <v>35</v>
      </c>
      <c r="O395" s="3" t="s">
        <v>83</v>
      </c>
      <c r="P395" s="4">
        <v>45894.583923611113</v>
      </c>
      <c r="Q395" s="3">
        <v>7777777</v>
      </c>
      <c r="R395" s="3" t="s">
        <v>37</v>
      </c>
      <c r="S395" s="3"/>
      <c r="T395" s="3"/>
      <c r="U395" s="5" t="s">
        <v>38</v>
      </c>
      <c r="V395" s="3"/>
      <c r="W395" s="3" t="s">
        <v>60</v>
      </c>
      <c r="X395" s="3" t="s">
        <v>41</v>
      </c>
      <c r="Y395" s="3" t="s">
        <v>41</v>
      </c>
      <c r="Z395" s="3" t="s">
        <v>42</v>
      </c>
      <c r="AA395" s="3" t="s">
        <v>43</v>
      </c>
      <c r="AB395" s="3" t="s">
        <v>40</v>
      </c>
      <c r="AC395">
        <f>IFERROR(VLOOKUP(C395,MigradosEfectivamente!B:B,1,FALSE),"No encontrado")</f>
        <v>1098742789</v>
      </c>
    </row>
    <row r="396" spans="1:29" ht="45" x14ac:dyDescent="0.25">
      <c r="A396" s="3" t="s">
        <v>1515</v>
      </c>
      <c r="B396" s="3" t="s">
        <v>1516</v>
      </c>
      <c r="C396" s="3">
        <v>1090401666</v>
      </c>
      <c r="D396" s="3" t="s">
        <v>1517</v>
      </c>
      <c r="E396" s="3">
        <v>3001501152</v>
      </c>
      <c r="F396" s="3" t="s">
        <v>1518</v>
      </c>
      <c r="G396" s="3">
        <v>89</v>
      </c>
      <c r="H396" s="3" t="s">
        <v>69</v>
      </c>
      <c r="I396" s="3" t="s">
        <v>33</v>
      </c>
      <c r="J396" s="3" t="s">
        <v>34</v>
      </c>
      <c r="K396" s="3"/>
      <c r="L396" s="3"/>
      <c r="M396" s="3"/>
      <c r="N396" s="3" t="s">
        <v>35</v>
      </c>
      <c r="O396" s="3" t="s">
        <v>36</v>
      </c>
      <c r="P396" s="4">
        <v>45894.571226851855</v>
      </c>
      <c r="Q396" s="3">
        <v>7777777</v>
      </c>
      <c r="R396" s="3" t="s">
        <v>37</v>
      </c>
      <c r="S396" s="3"/>
      <c r="T396" s="3"/>
      <c r="U396" s="5" t="s">
        <v>38</v>
      </c>
      <c r="V396" s="3"/>
      <c r="W396" s="3" t="s">
        <v>39</v>
      </c>
      <c r="X396" s="3" t="s">
        <v>40</v>
      </c>
      <c r="Y396" s="3" t="s">
        <v>41</v>
      </c>
      <c r="Z396" s="3" t="s">
        <v>70</v>
      </c>
      <c r="AA396" s="3" t="s">
        <v>49</v>
      </c>
      <c r="AB396" s="3" t="s">
        <v>40</v>
      </c>
      <c r="AC396" t="str">
        <f>IFERROR(VLOOKUP(C396,MigradosEfectivamente!B:B,1,FALSE),"No encontrado")</f>
        <v>No encontrado</v>
      </c>
    </row>
    <row r="397" spans="1:29" ht="45" x14ac:dyDescent="0.25">
      <c r="A397" s="3" t="s">
        <v>1519</v>
      </c>
      <c r="B397" s="3" t="s">
        <v>1520</v>
      </c>
      <c r="C397" s="3">
        <v>1005261045</v>
      </c>
      <c r="D397" s="3" t="s">
        <v>411</v>
      </c>
      <c r="E397" s="3">
        <v>3133865540</v>
      </c>
      <c r="F397" s="3" t="s">
        <v>1521</v>
      </c>
      <c r="G397" s="3">
        <v>89</v>
      </c>
      <c r="H397" s="3" t="s">
        <v>69</v>
      </c>
      <c r="I397" s="3" t="s">
        <v>33</v>
      </c>
      <c r="J397" s="3" t="s">
        <v>34</v>
      </c>
      <c r="K397" s="3"/>
      <c r="L397" s="3"/>
      <c r="M397" s="3"/>
      <c r="N397" s="3" t="s">
        <v>35</v>
      </c>
      <c r="O397" s="3" t="s">
        <v>36</v>
      </c>
      <c r="P397" s="4">
        <v>45894.545532407406</v>
      </c>
      <c r="Q397" s="3">
        <v>7777777</v>
      </c>
      <c r="R397" s="3" t="s">
        <v>37</v>
      </c>
      <c r="S397" s="3"/>
      <c r="T397" s="3"/>
      <c r="U397" s="5" t="s">
        <v>38</v>
      </c>
      <c r="V397" s="3"/>
      <c r="W397" s="3" t="s">
        <v>39</v>
      </c>
      <c r="X397" s="3" t="s">
        <v>41</v>
      </c>
      <c r="Y397" s="3" t="s">
        <v>41</v>
      </c>
      <c r="Z397" s="3" t="s">
        <v>70</v>
      </c>
      <c r="AA397" s="3" t="s">
        <v>49</v>
      </c>
      <c r="AB397" s="3" t="s">
        <v>40</v>
      </c>
      <c r="AC397">
        <f>IFERROR(VLOOKUP(C397,MigradosEfectivamente!B:B,1,FALSE),"No encontrado")</f>
        <v>1005261045</v>
      </c>
    </row>
    <row r="398" spans="1:29" ht="45" x14ac:dyDescent="0.25">
      <c r="A398" s="3" t="s">
        <v>1522</v>
      </c>
      <c r="B398" s="3" t="s">
        <v>1523</v>
      </c>
      <c r="C398" s="3">
        <v>1090476361</v>
      </c>
      <c r="D398" s="3" t="s">
        <v>1524</v>
      </c>
      <c r="E398" s="3">
        <v>3103407279</v>
      </c>
      <c r="F398" s="3" t="s">
        <v>1525</v>
      </c>
      <c r="G398" s="3">
        <v>89</v>
      </c>
      <c r="H398" s="3" t="s">
        <v>136</v>
      </c>
      <c r="I398" s="3" t="s">
        <v>33</v>
      </c>
      <c r="J398" s="3" t="s">
        <v>34</v>
      </c>
      <c r="K398" s="3"/>
      <c r="L398" s="3"/>
      <c r="M398" s="3"/>
      <c r="N398" s="3" t="s">
        <v>35</v>
      </c>
      <c r="O398" s="3" t="s">
        <v>36</v>
      </c>
      <c r="P398" s="4">
        <v>45894.470856481479</v>
      </c>
      <c r="Q398" s="3">
        <v>7777777</v>
      </c>
      <c r="R398" s="3" t="s">
        <v>37</v>
      </c>
      <c r="S398" s="3"/>
      <c r="T398" s="3"/>
      <c r="U398" s="5" t="s">
        <v>38</v>
      </c>
      <c r="V398" s="3"/>
      <c r="W398" s="3" t="s">
        <v>39</v>
      </c>
      <c r="X398" s="3" t="s">
        <v>41</v>
      </c>
      <c r="Y398" s="3" t="s">
        <v>41</v>
      </c>
      <c r="Z398" s="3" t="s">
        <v>70</v>
      </c>
      <c r="AA398" s="3" t="s">
        <v>43</v>
      </c>
      <c r="AB398" s="3" t="s">
        <v>40</v>
      </c>
      <c r="AC398">
        <f>IFERROR(VLOOKUP(C398,MigradosEfectivamente!B:B,1,FALSE),"No encontrado")</f>
        <v>1090476361</v>
      </c>
    </row>
    <row r="399" spans="1:29" ht="60" x14ac:dyDescent="0.25">
      <c r="A399" s="3" t="s">
        <v>1526</v>
      </c>
      <c r="B399" s="3" t="s">
        <v>1527</v>
      </c>
      <c r="C399" s="3">
        <v>1098776084</v>
      </c>
      <c r="D399" s="3" t="s">
        <v>169</v>
      </c>
      <c r="E399" s="3">
        <v>3174242008</v>
      </c>
      <c r="F399" s="3" t="s">
        <v>1528</v>
      </c>
      <c r="G399" s="3">
        <v>89</v>
      </c>
      <c r="H399" s="3" t="s">
        <v>97</v>
      </c>
      <c r="I399" s="3" t="s">
        <v>82</v>
      </c>
      <c r="J399" s="3" t="s">
        <v>34</v>
      </c>
      <c r="K399" s="3"/>
      <c r="L399" s="3"/>
      <c r="M399" s="3"/>
      <c r="N399" s="3" t="s">
        <v>35</v>
      </c>
      <c r="O399" s="3" t="s">
        <v>36</v>
      </c>
      <c r="P399" s="4">
        <v>45894.334976851853</v>
      </c>
      <c r="Q399" s="3">
        <v>7777777</v>
      </c>
      <c r="R399" s="3" t="s">
        <v>37</v>
      </c>
      <c r="S399" s="3"/>
      <c r="T399" s="3"/>
      <c r="U399" s="5" t="s">
        <v>38</v>
      </c>
      <c r="V399" s="3"/>
      <c r="W399" s="3" t="s">
        <v>60</v>
      </c>
      <c r="X399" s="3" t="s">
        <v>40</v>
      </c>
      <c r="Y399" s="3" t="s">
        <v>41</v>
      </c>
      <c r="Z399" s="3" t="s">
        <v>42</v>
      </c>
      <c r="AA399" s="3" t="s">
        <v>43</v>
      </c>
      <c r="AB399" s="3" t="s">
        <v>40</v>
      </c>
      <c r="AC399" t="str">
        <f>IFERROR(VLOOKUP(C399,MigradosEfectivamente!B:B,1,FALSE),"No encontrado")</f>
        <v>No encontrado</v>
      </c>
    </row>
    <row r="400" spans="1:29" ht="45" x14ac:dyDescent="0.25">
      <c r="A400" s="3" t="s">
        <v>1529</v>
      </c>
      <c r="B400" s="3" t="s">
        <v>1530</v>
      </c>
      <c r="C400" s="3">
        <v>1065613501</v>
      </c>
      <c r="D400" s="3" t="s">
        <v>1531</v>
      </c>
      <c r="E400" s="3">
        <v>3168718218</v>
      </c>
      <c r="F400" s="3" t="s">
        <v>1532</v>
      </c>
      <c r="G400" s="3">
        <v>89</v>
      </c>
      <c r="H400" s="3" t="s">
        <v>48</v>
      </c>
      <c r="I400" s="3" t="s">
        <v>33</v>
      </c>
      <c r="J400" s="3" t="s">
        <v>34</v>
      </c>
      <c r="K400" s="3"/>
      <c r="L400" s="3"/>
      <c r="M400" s="3"/>
      <c r="N400" s="3" t="s">
        <v>35</v>
      </c>
      <c r="O400" s="3" t="s">
        <v>36</v>
      </c>
      <c r="P400" s="4">
        <v>45893.783854166664</v>
      </c>
      <c r="Q400" s="3">
        <v>7777777</v>
      </c>
      <c r="R400" s="3" t="s">
        <v>37</v>
      </c>
      <c r="S400" s="3"/>
      <c r="T400" s="3"/>
      <c r="U400" s="5" t="s">
        <v>38</v>
      </c>
      <c r="V400" s="3"/>
      <c r="W400" s="3" t="s">
        <v>39</v>
      </c>
      <c r="X400" s="3" t="s">
        <v>41</v>
      </c>
      <c r="Y400" s="3" t="s">
        <v>41</v>
      </c>
      <c r="Z400" s="3" t="s">
        <v>92</v>
      </c>
      <c r="AA400" s="3" t="s">
        <v>49</v>
      </c>
      <c r="AB400" s="3" t="s">
        <v>41</v>
      </c>
      <c r="AC400">
        <f>IFERROR(VLOOKUP(C400,MigradosEfectivamente!B:B,1,FALSE),"No encontrado")</f>
        <v>1065613501</v>
      </c>
    </row>
    <row r="401" spans="1:29" ht="60" x14ac:dyDescent="0.25">
      <c r="A401" s="3" t="s">
        <v>1533</v>
      </c>
      <c r="B401" s="3" t="s">
        <v>1534</v>
      </c>
      <c r="C401" s="3">
        <v>1062805635</v>
      </c>
      <c r="D401" s="3" t="s">
        <v>1535</v>
      </c>
      <c r="E401" s="3">
        <v>3229314248</v>
      </c>
      <c r="F401" s="3" t="s">
        <v>1536</v>
      </c>
      <c r="G401" s="3">
        <v>89</v>
      </c>
      <c r="H401" s="3" t="s">
        <v>54</v>
      </c>
      <c r="I401" s="3" t="s">
        <v>33</v>
      </c>
      <c r="J401" s="3" t="s">
        <v>34</v>
      </c>
      <c r="K401" s="3"/>
      <c r="L401" s="3"/>
      <c r="M401" s="3"/>
      <c r="N401" s="3" t="s">
        <v>35</v>
      </c>
      <c r="O401" s="3" t="s">
        <v>36</v>
      </c>
      <c r="P401" s="4">
        <v>45893.586412037039</v>
      </c>
      <c r="Q401" s="3">
        <v>7777777</v>
      </c>
      <c r="R401" s="3" t="s">
        <v>37</v>
      </c>
      <c r="S401" s="3"/>
      <c r="T401" s="3"/>
      <c r="U401" s="5" t="s">
        <v>38</v>
      </c>
      <c r="V401" s="3"/>
      <c r="W401" s="3" t="s">
        <v>60</v>
      </c>
      <c r="X401" s="3" t="s">
        <v>41</v>
      </c>
      <c r="Y401" s="3" t="s">
        <v>41</v>
      </c>
      <c r="Z401" s="3" t="s">
        <v>42</v>
      </c>
      <c r="AA401" s="3" t="s">
        <v>49</v>
      </c>
      <c r="AB401" s="3" t="s">
        <v>40</v>
      </c>
      <c r="AC401">
        <f>IFERROR(VLOOKUP(C401,MigradosEfectivamente!B:B,1,FALSE),"No encontrado")</f>
        <v>1062805635</v>
      </c>
    </row>
    <row r="402" spans="1:29" ht="45" x14ac:dyDescent="0.25">
      <c r="A402" s="3" t="s">
        <v>1537</v>
      </c>
      <c r="B402" s="3" t="s">
        <v>1538</v>
      </c>
      <c r="C402" s="3">
        <v>1098661754</v>
      </c>
      <c r="D402" s="3" t="s">
        <v>1539</v>
      </c>
      <c r="E402" s="3">
        <v>3168861799</v>
      </c>
      <c r="F402" s="3" t="s">
        <v>1540</v>
      </c>
      <c r="G402" s="3">
        <v>89</v>
      </c>
      <c r="H402" s="3" t="s">
        <v>48</v>
      </c>
      <c r="I402" s="3" t="s">
        <v>33</v>
      </c>
      <c r="J402" s="3" t="s">
        <v>34</v>
      </c>
      <c r="K402" s="3"/>
      <c r="L402" s="3"/>
      <c r="M402" s="3"/>
      <c r="N402" s="3" t="s">
        <v>35</v>
      </c>
      <c r="O402" s="3" t="s">
        <v>36</v>
      </c>
      <c r="P402" s="4">
        <v>45893.412314814814</v>
      </c>
      <c r="Q402" s="3">
        <v>7777777</v>
      </c>
      <c r="R402" s="3" t="s">
        <v>37</v>
      </c>
      <c r="S402" s="3"/>
      <c r="T402" s="3"/>
      <c r="U402" s="5" t="s">
        <v>38</v>
      </c>
      <c r="V402" s="3"/>
      <c r="W402" s="3" t="s">
        <v>39</v>
      </c>
      <c r="X402" s="3" t="s">
        <v>41</v>
      </c>
      <c r="Y402" s="3" t="s">
        <v>41</v>
      </c>
      <c r="Z402" s="3" t="s">
        <v>70</v>
      </c>
      <c r="AA402" s="3" t="s">
        <v>49</v>
      </c>
      <c r="AB402" s="3" t="s">
        <v>41</v>
      </c>
      <c r="AC402">
        <f>IFERROR(VLOOKUP(C402,MigradosEfectivamente!B:B,1,FALSE),"No encontrado")</f>
        <v>1098661754</v>
      </c>
    </row>
    <row r="403" spans="1:29" ht="60" x14ac:dyDescent="0.25">
      <c r="A403" s="3" t="s">
        <v>1541</v>
      </c>
      <c r="B403" s="3" t="s">
        <v>1542</v>
      </c>
      <c r="C403" s="3">
        <v>1098812062</v>
      </c>
      <c r="D403" s="3" t="s">
        <v>1543</v>
      </c>
      <c r="E403" s="3">
        <v>3219566017</v>
      </c>
      <c r="F403" s="3" t="s">
        <v>1544</v>
      </c>
      <c r="G403" s="3">
        <v>89</v>
      </c>
      <c r="H403" s="3" t="s">
        <v>54</v>
      </c>
      <c r="I403" s="3" t="s">
        <v>82</v>
      </c>
      <c r="J403" s="3" t="s">
        <v>34</v>
      </c>
      <c r="K403" s="3"/>
      <c r="L403" s="3"/>
      <c r="M403" s="3"/>
      <c r="N403" s="3" t="s">
        <v>35</v>
      </c>
      <c r="O403" s="3" t="s">
        <v>36</v>
      </c>
      <c r="P403" s="4">
        <v>45893.337673611109</v>
      </c>
      <c r="Q403" s="3">
        <v>7777777</v>
      </c>
      <c r="R403" s="3" t="s">
        <v>37</v>
      </c>
      <c r="S403" s="3"/>
      <c r="T403" s="3"/>
      <c r="U403" s="5" t="s">
        <v>38</v>
      </c>
      <c r="V403" s="3"/>
      <c r="W403" s="3" t="s">
        <v>60</v>
      </c>
      <c r="X403" s="3" t="s">
        <v>41</v>
      </c>
      <c r="Y403" s="3" t="s">
        <v>41</v>
      </c>
      <c r="Z403" s="3" t="s">
        <v>42</v>
      </c>
      <c r="AA403" s="3" t="s">
        <v>49</v>
      </c>
      <c r="AB403" s="3" t="s">
        <v>40</v>
      </c>
      <c r="AC403">
        <f>IFERROR(VLOOKUP(C403,MigradosEfectivamente!B:B,1,FALSE),"No encontrado")</f>
        <v>1098812062</v>
      </c>
    </row>
    <row r="404" spans="1:29" ht="60" x14ac:dyDescent="0.25">
      <c r="A404" s="3" t="s">
        <v>1545</v>
      </c>
      <c r="B404" s="3" t="s">
        <v>1546</v>
      </c>
      <c r="C404" s="3">
        <v>1090510905</v>
      </c>
      <c r="D404" s="3" t="s">
        <v>1547</v>
      </c>
      <c r="E404" s="3">
        <v>3209192463</v>
      </c>
      <c r="F404" s="3" t="s">
        <v>1548</v>
      </c>
      <c r="G404" s="3">
        <v>99</v>
      </c>
      <c r="H404" s="3" t="s">
        <v>136</v>
      </c>
      <c r="I404" s="3" t="s">
        <v>82</v>
      </c>
      <c r="J404" s="3" t="s">
        <v>34</v>
      </c>
      <c r="K404" s="3"/>
      <c r="L404" s="3"/>
      <c r="M404" s="3"/>
      <c r="N404" s="3" t="s">
        <v>35</v>
      </c>
      <c r="O404" s="3" t="s">
        <v>83</v>
      </c>
      <c r="P404" s="4">
        <v>45892.876805555556</v>
      </c>
      <c r="Q404" s="3">
        <v>7777777</v>
      </c>
      <c r="R404" s="3" t="s">
        <v>37</v>
      </c>
      <c r="S404" s="3"/>
      <c r="T404" s="3"/>
      <c r="U404" s="5" t="s">
        <v>38</v>
      </c>
      <c r="V404" s="3"/>
      <c r="W404" s="3" t="s">
        <v>60</v>
      </c>
      <c r="X404" s="3" t="s">
        <v>40</v>
      </c>
      <c r="Y404" s="3" t="s">
        <v>41</v>
      </c>
      <c r="Z404" s="3" t="s">
        <v>42</v>
      </c>
      <c r="AA404" s="3" t="s">
        <v>49</v>
      </c>
      <c r="AB404" s="3" t="s">
        <v>40</v>
      </c>
      <c r="AC404" t="str">
        <f>IFERROR(VLOOKUP(C404,MigradosEfectivamente!B:B,1,FALSE),"No encontrado")</f>
        <v>No encontrado</v>
      </c>
    </row>
    <row r="405" spans="1:29" ht="45" x14ac:dyDescent="0.25">
      <c r="A405" s="3" t="s">
        <v>1549</v>
      </c>
      <c r="B405" s="3" t="s">
        <v>1550</v>
      </c>
      <c r="C405" s="3">
        <v>1098737308</v>
      </c>
      <c r="D405" s="3" t="s">
        <v>1551</v>
      </c>
      <c r="E405" s="3">
        <v>3152035115</v>
      </c>
      <c r="F405" s="3" t="s">
        <v>1552</v>
      </c>
      <c r="G405" s="3">
        <v>89</v>
      </c>
      <c r="H405" s="3" t="s">
        <v>32</v>
      </c>
      <c r="I405" s="3" t="s">
        <v>33</v>
      </c>
      <c r="J405" s="3" t="s">
        <v>34</v>
      </c>
      <c r="K405" s="3"/>
      <c r="L405" s="3"/>
      <c r="M405" s="3"/>
      <c r="N405" s="3" t="s">
        <v>35</v>
      </c>
      <c r="O405" s="3" t="s">
        <v>36</v>
      </c>
      <c r="P405" s="4">
        <v>45892.425659722219</v>
      </c>
      <c r="Q405" s="3">
        <v>7777777</v>
      </c>
      <c r="R405" s="3" t="s">
        <v>37</v>
      </c>
      <c r="S405" s="3"/>
      <c r="T405" s="3"/>
      <c r="U405" s="5" t="s">
        <v>38</v>
      </c>
      <c r="V405" s="3"/>
      <c r="W405" s="3" t="s">
        <v>39</v>
      </c>
      <c r="X405" s="3" t="s">
        <v>41</v>
      </c>
      <c r="Y405" s="3" t="s">
        <v>41</v>
      </c>
      <c r="Z405" s="3" t="s">
        <v>92</v>
      </c>
      <c r="AA405" s="3" t="s">
        <v>49</v>
      </c>
      <c r="AB405" s="3" t="s">
        <v>41</v>
      </c>
      <c r="AC405">
        <f>IFERROR(VLOOKUP(C405,MigradosEfectivamente!B:B,1,FALSE),"No encontrado")</f>
        <v>1098737308</v>
      </c>
    </row>
    <row r="406" spans="1:29" ht="45" x14ac:dyDescent="0.25">
      <c r="A406" s="3" t="s">
        <v>1553</v>
      </c>
      <c r="B406" s="3" t="s">
        <v>1554</v>
      </c>
      <c r="C406" s="3">
        <v>1006206727</v>
      </c>
      <c r="D406" s="3" t="s">
        <v>288</v>
      </c>
      <c r="E406" s="3">
        <v>3229524529</v>
      </c>
      <c r="F406" s="3" t="s">
        <v>1555</v>
      </c>
      <c r="G406" s="3">
        <v>99</v>
      </c>
      <c r="H406" s="3" t="s">
        <v>136</v>
      </c>
      <c r="I406" s="3" t="s">
        <v>82</v>
      </c>
      <c r="J406" s="3" t="s">
        <v>34</v>
      </c>
      <c r="K406" s="3"/>
      <c r="L406" s="3"/>
      <c r="M406" s="3"/>
      <c r="N406" s="3" t="s">
        <v>35</v>
      </c>
      <c r="O406" s="3" t="s">
        <v>83</v>
      </c>
      <c r="P406" s="4">
        <v>45891.445740740739</v>
      </c>
      <c r="Q406" s="3">
        <v>7777777</v>
      </c>
      <c r="R406" s="3" t="s">
        <v>37</v>
      </c>
      <c r="S406" s="3"/>
      <c r="T406" s="3"/>
      <c r="U406" s="5" t="s">
        <v>38</v>
      </c>
      <c r="V406" s="3"/>
      <c r="W406" s="3" t="s">
        <v>39</v>
      </c>
      <c r="X406" s="3" t="s">
        <v>40</v>
      </c>
      <c r="Y406" s="3" t="s">
        <v>41</v>
      </c>
      <c r="Z406" s="3" t="s">
        <v>42</v>
      </c>
      <c r="AA406" s="3" t="s">
        <v>49</v>
      </c>
      <c r="AB406" s="3" t="s">
        <v>40</v>
      </c>
      <c r="AC406" t="str">
        <f>IFERROR(VLOOKUP(C406,MigradosEfectivamente!B:B,1,FALSE),"No encontrado")</f>
        <v>No encontrado</v>
      </c>
    </row>
    <row r="407" spans="1:29" ht="45" x14ac:dyDescent="0.25">
      <c r="A407" s="3" t="s">
        <v>1556</v>
      </c>
      <c r="B407" s="3" t="s">
        <v>1557</v>
      </c>
      <c r="C407" s="3">
        <v>1095831653</v>
      </c>
      <c r="D407" s="3" t="s">
        <v>1558</v>
      </c>
      <c r="E407" s="3">
        <v>3144438697</v>
      </c>
      <c r="F407" s="3" t="s">
        <v>1559</v>
      </c>
      <c r="G407" s="3">
        <v>89</v>
      </c>
      <c r="H407" s="3" t="s">
        <v>110</v>
      </c>
      <c r="I407" s="3" t="s">
        <v>33</v>
      </c>
      <c r="J407" s="3" t="s">
        <v>34</v>
      </c>
      <c r="K407" s="3"/>
      <c r="L407" s="3"/>
      <c r="M407" s="3"/>
      <c r="N407" s="3" t="s">
        <v>35</v>
      </c>
      <c r="O407" s="3" t="s">
        <v>36</v>
      </c>
      <c r="P407" s="4">
        <v>45891.36409722222</v>
      </c>
      <c r="Q407" s="3">
        <v>7777777</v>
      </c>
      <c r="R407" s="3" t="s">
        <v>37</v>
      </c>
      <c r="S407" s="3"/>
      <c r="T407" s="3"/>
      <c r="U407" s="5" t="s">
        <v>38</v>
      </c>
      <c r="V407" s="3"/>
      <c r="W407" s="3" t="s">
        <v>39</v>
      </c>
      <c r="X407" s="3" t="s">
        <v>41</v>
      </c>
      <c r="Y407" s="3" t="s">
        <v>41</v>
      </c>
      <c r="Z407" s="3" t="s">
        <v>42</v>
      </c>
      <c r="AA407" s="3" t="s">
        <v>49</v>
      </c>
      <c r="AB407" s="3" t="s">
        <v>40</v>
      </c>
      <c r="AC407">
        <f>IFERROR(VLOOKUP(C407,MigradosEfectivamente!B:B,1,FALSE),"No encontrado")</f>
        <v>1095831653</v>
      </c>
    </row>
    <row r="408" spans="1:29" ht="60" x14ac:dyDescent="0.25">
      <c r="A408" s="3" t="s">
        <v>1560</v>
      </c>
      <c r="B408" s="3" t="s">
        <v>1561</v>
      </c>
      <c r="C408" s="3">
        <v>1005321755</v>
      </c>
      <c r="D408" s="3" t="s">
        <v>169</v>
      </c>
      <c r="E408" s="3">
        <v>3505087538</v>
      </c>
      <c r="F408" s="3" t="s">
        <v>1562</v>
      </c>
      <c r="G408" s="3">
        <v>99</v>
      </c>
      <c r="H408" s="3" t="s">
        <v>97</v>
      </c>
      <c r="I408" s="3" t="s">
        <v>82</v>
      </c>
      <c r="J408" s="3" t="s">
        <v>34</v>
      </c>
      <c r="K408" s="3"/>
      <c r="L408" s="3"/>
      <c r="M408" s="3"/>
      <c r="N408" s="3" t="s">
        <v>35</v>
      </c>
      <c r="O408" s="3" t="s">
        <v>83</v>
      </c>
      <c r="P408" s="4">
        <v>45890.741736111115</v>
      </c>
      <c r="Q408" s="3">
        <v>7777777</v>
      </c>
      <c r="R408" s="3" t="s">
        <v>37</v>
      </c>
      <c r="S408" s="3"/>
      <c r="T408" s="3"/>
      <c r="U408" s="5" t="s">
        <v>38</v>
      </c>
      <c r="V408" s="3"/>
      <c r="W408" s="3" t="s">
        <v>60</v>
      </c>
      <c r="X408" s="3" t="s">
        <v>40</v>
      </c>
      <c r="Y408" s="3" t="s">
        <v>41</v>
      </c>
      <c r="Z408" s="3" t="s">
        <v>42</v>
      </c>
      <c r="AA408" s="3" t="s">
        <v>49</v>
      </c>
      <c r="AB408" s="3" t="s">
        <v>40</v>
      </c>
      <c r="AC408" t="str">
        <f>IFERROR(VLOOKUP(C408,MigradosEfectivamente!B:B,1,FALSE),"No encontrado")</f>
        <v>No encontrado</v>
      </c>
    </row>
    <row r="409" spans="1:29" ht="45" x14ac:dyDescent="0.25">
      <c r="A409" s="3" t="s">
        <v>1563</v>
      </c>
      <c r="B409" s="3" t="s">
        <v>1564</v>
      </c>
      <c r="C409" s="3">
        <v>1004347679</v>
      </c>
      <c r="D409" s="3" t="s">
        <v>169</v>
      </c>
      <c r="E409" s="3">
        <v>3187224155</v>
      </c>
      <c r="F409" s="3" t="s">
        <v>1565</v>
      </c>
      <c r="G409" s="3">
        <v>89</v>
      </c>
      <c r="H409" s="3" t="s">
        <v>32</v>
      </c>
      <c r="I409" s="3" t="s">
        <v>33</v>
      </c>
      <c r="J409" s="3" t="s">
        <v>34</v>
      </c>
      <c r="K409" s="3"/>
      <c r="L409" s="3"/>
      <c r="M409" s="3"/>
      <c r="N409" s="3" t="s">
        <v>35</v>
      </c>
      <c r="O409" s="3" t="s">
        <v>36</v>
      </c>
      <c r="P409" s="4">
        <v>45890.542395833334</v>
      </c>
      <c r="Q409" s="3">
        <v>7777777</v>
      </c>
      <c r="R409" s="3" t="s">
        <v>37</v>
      </c>
      <c r="S409" s="3"/>
      <c r="T409" s="3"/>
      <c r="U409" s="5" t="s">
        <v>38</v>
      </c>
      <c r="V409" s="3"/>
      <c r="W409" s="3" t="s">
        <v>39</v>
      </c>
      <c r="X409" s="3" t="s">
        <v>41</v>
      </c>
      <c r="Y409" s="3" t="s">
        <v>41</v>
      </c>
      <c r="Z409" s="3" t="s">
        <v>42</v>
      </c>
      <c r="AA409" s="3" t="s">
        <v>49</v>
      </c>
      <c r="AB409" s="3" t="s">
        <v>40</v>
      </c>
      <c r="AC409" t="str">
        <f>IFERROR(VLOOKUP(C409,MigradosEfectivamente!B:B,1,FALSE),"No encontrado")</f>
        <v>No encontrado</v>
      </c>
    </row>
    <row r="410" spans="1:29" ht="60" x14ac:dyDescent="0.25">
      <c r="A410" s="3" t="s">
        <v>1566</v>
      </c>
      <c r="B410" s="3" t="s">
        <v>1567</v>
      </c>
      <c r="C410" s="3">
        <v>1090398553</v>
      </c>
      <c r="D410" s="3" t="s">
        <v>1048</v>
      </c>
      <c r="E410" s="3">
        <v>3208919270</v>
      </c>
      <c r="F410" s="3" t="s">
        <v>1568</v>
      </c>
      <c r="G410" s="3">
        <v>89</v>
      </c>
      <c r="H410" s="3" t="s">
        <v>69</v>
      </c>
      <c r="I410" s="3" t="s">
        <v>82</v>
      </c>
      <c r="J410" s="3" t="s">
        <v>34</v>
      </c>
      <c r="K410" s="3"/>
      <c r="L410" s="3"/>
      <c r="M410" s="3"/>
      <c r="N410" s="3" t="s">
        <v>35</v>
      </c>
      <c r="O410" s="3" t="s">
        <v>36</v>
      </c>
      <c r="P410" s="4">
        <v>45890.334155092591</v>
      </c>
      <c r="Q410" s="3">
        <v>7777777</v>
      </c>
      <c r="R410" s="3" t="s">
        <v>37</v>
      </c>
      <c r="S410" s="3"/>
      <c r="T410" s="3"/>
      <c r="U410" s="5" t="s">
        <v>38</v>
      </c>
      <c r="V410" s="3"/>
      <c r="W410" s="3" t="s">
        <v>60</v>
      </c>
      <c r="X410" s="3" t="s">
        <v>41</v>
      </c>
      <c r="Y410" s="3" t="s">
        <v>41</v>
      </c>
      <c r="Z410" s="3" t="s">
        <v>42</v>
      </c>
      <c r="AA410" s="3" t="s">
        <v>49</v>
      </c>
      <c r="AB410" s="3" t="s">
        <v>40</v>
      </c>
      <c r="AC410">
        <f>IFERROR(VLOOKUP(C410,MigradosEfectivamente!B:B,1,FALSE),"No encontrado")</f>
        <v>1090398553</v>
      </c>
    </row>
    <row r="411" spans="1:29" ht="60" x14ac:dyDescent="0.25">
      <c r="A411" s="3" t="s">
        <v>1569</v>
      </c>
      <c r="B411" s="3" t="s">
        <v>1570</v>
      </c>
      <c r="C411" s="3">
        <v>63350271</v>
      </c>
      <c r="D411" s="3" t="s">
        <v>1571</v>
      </c>
      <c r="E411" s="3">
        <v>3214555841</v>
      </c>
      <c r="F411" s="3" t="s">
        <v>1572</v>
      </c>
      <c r="G411" s="3">
        <v>89</v>
      </c>
      <c r="H411" s="3" t="s">
        <v>97</v>
      </c>
      <c r="I411" s="3" t="s">
        <v>119</v>
      </c>
      <c r="J411" s="3" t="s">
        <v>34</v>
      </c>
      <c r="K411" s="3"/>
      <c r="L411" s="3"/>
      <c r="M411" s="3"/>
      <c r="N411" s="3" t="s">
        <v>35</v>
      </c>
      <c r="O411" s="3" t="s">
        <v>36</v>
      </c>
      <c r="P411" s="4">
        <v>45889.87667824074</v>
      </c>
      <c r="Q411" s="3">
        <v>7777777</v>
      </c>
      <c r="R411" s="3" t="s">
        <v>37</v>
      </c>
      <c r="S411" s="3"/>
      <c r="T411" s="3"/>
      <c r="U411" s="5" t="s">
        <v>38</v>
      </c>
      <c r="V411" s="3"/>
      <c r="W411" s="3" t="s">
        <v>60</v>
      </c>
      <c r="X411" s="3" t="s">
        <v>41</v>
      </c>
      <c r="Y411" s="3" t="s">
        <v>41</v>
      </c>
      <c r="Z411" s="3" t="s">
        <v>42</v>
      </c>
      <c r="AA411" s="3" t="s">
        <v>49</v>
      </c>
      <c r="AB411" s="3" t="s">
        <v>40</v>
      </c>
      <c r="AC411" t="str">
        <f>IFERROR(VLOOKUP(C411,MigradosEfectivamente!B:B,1,FALSE),"No encontrado")</f>
        <v>No encontrado</v>
      </c>
    </row>
    <row r="412" spans="1:29" ht="60" x14ac:dyDescent="0.25">
      <c r="A412" s="3" t="s">
        <v>1573</v>
      </c>
      <c r="B412" s="3" t="s">
        <v>1574</v>
      </c>
      <c r="C412" s="3">
        <v>1090521204</v>
      </c>
      <c r="D412" s="3" t="s">
        <v>1575</v>
      </c>
      <c r="E412" s="3">
        <v>3217134813</v>
      </c>
      <c r="F412" s="3" t="s">
        <v>1576</v>
      </c>
      <c r="G412" s="3">
        <v>99</v>
      </c>
      <c r="H412" s="3" t="s">
        <v>110</v>
      </c>
      <c r="I412" s="3" t="s">
        <v>82</v>
      </c>
      <c r="J412" s="3" t="s">
        <v>34</v>
      </c>
      <c r="K412" s="3"/>
      <c r="L412" s="3"/>
      <c r="M412" s="3"/>
      <c r="N412" s="3" t="s">
        <v>35</v>
      </c>
      <c r="O412" s="3" t="s">
        <v>83</v>
      </c>
      <c r="P412" s="4">
        <v>45889.87605324074</v>
      </c>
      <c r="Q412" s="3">
        <v>7777777</v>
      </c>
      <c r="R412" s="3" t="s">
        <v>37</v>
      </c>
      <c r="S412" s="3"/>
      <c r="T412" s="3"/>
      <c r="U412" s="5" t="s">
        <v>38</v>
      </c>
      <c r="V412" s="3"/>
      <c r="W412" s="3" t="s">
        <v>60</v>
      </c>
      <c r="X412" s="3" t="s">
        <v>41</v>
      </c>
      <c r="Y412" s="3" t="s">
        <v>41</v>
      </c>
      <c r="Z412" s="3" t="s">
        <v>42</v>
      </c>
      <c r="AA412" s="3" t="s">
        <v>49</v>
      </c>
      <c r="AB412" s="3" t="s">
        <v>40</v>
      </c>
      <c r="AC412">
        <f>IFERROR(VLOOKUP(C412,MigradosEfectivamente!B:B,1,FALSE),"No encontrado")</f>
        <v>1090521204</v>
      </c>
    </row>
    <row r="413" spans="1:29" ht="45" x14ac:dyDescent="0.25">
      <c r="A413" s="3" t="s">
        <v>1577</v>
      </c>
      <c r="B413" s="3" t="s">
        <v>1578</v>
      </c>
      <c r="C413" s="3">
        <v>1095822856</v>
      </c>
      <c r="D413" s="3" t="s">
        <v>122</v>
      </c>
      <c r="E413" s="3" t="s">
        <v>1579</v>
      </c>
      <c r="F413" s="3" t="s">
        <v>1580</v>
      </c>
      <c r="G413" s="3">
        <v>89</v>
      </c>
      <c r="H413" s="3" t="s">
        <v>59</v>
      </c>
      <c r="I413" s="3" t="s">
        <v>33</v>
      </c>
      <c r="J413" s="3" t="s">
        <v>34</v>
      </c>
      <c r="K413" s="3"/>
      <c r="L413" s="3"/>
      <c r="M413" s="3"/>
      <c r="N413" s="3" t="s">
        <v>35</v>
      </c>
      <c r="O413" s="3" t="s">
        <v>36</v>
      </c>
      <c r="P413" s="4">
        <v>45889.799108796295</v>
      </c>
      <c r="Q413" s="3">
        <v>7777777</v>
      </c>
      <c r="R413" s="3" t="s">
        <v>37</v>
      </c>
      <c r="S413" s="3"/>
      <c r="T413" s="3"/>
      <c r="U413" s="5" t="s">
        <v>38</v>
      </c>
      <c r="V413" s="3"/>
      <c r="W413" s="3" t="s">
        <v>39</v>
      </c>
      <c r="X413" s="3" t="s">
        <v>41</v>
      </c>
      <c r="Y413" s="3" t="s">
        <v>41</v>
      </c>
      <c r="Z413" s="3" t="s">
        <v>70</v>
      </c>
      <c r="AA413" s="3" t="s">
        <v>49</v>
      </c>
      <c r="AB413" s="3" t="s">
        <v>41</v>
      </c>
      <c r="AC413">
        <f>IFERROR(VLOOKUP(C413,MigradosEfectivamente!B:B,1,FALSE),"No encontrado")</f>
        <v>1095822856</v>
      </c>
    </row>
    <row r="414" spans="1:29" ht="45" x14ac:dyDescent="0.25">
      <c r="A414" s="3" t="s">
        <v>1581</v>
      </c>
      <c r="B414" s="3" t="s">
        <v>1582</v>
      </c>
      <c r="C414" s="3">
        <v>1090447477</v>
      </c>
      <c r="D414" s="3" t="s">
        <v>1583</v>
      </c>
      <c r="E414" s="3">
        <v>3182725796</v>
      </c>
      <c r="F414" s="3" t="s">
        <v>1584</v>
      </c>
      <c r="G414" s="3">
        <v>750</v>
      </c>
      <c r="H414" s="3" t="s">
        <v>69</v>
      </c>
      <c r="I414" s="3" t="s">
        <v>1585</v>
      </c>
      <c r="J414" s="3" t="s">
        <v>34</v>
      </c>
      <c r="K414" s="3"/>
      <c r="L414" s="3"/>
      <c r="M414" s="3"/>
      <c r="N414" s="3" t="s">
        <v>35</v>
      </c>
      <c r="O414" s="3" t="s">
        <v>1586</v>
      </c>
      <c r="P414" s="4">
        <v>45889.789074074077</v>
      </c>
      <c r="Q414" s="3">
        <v>7777777</v>
      </c>
      <c r="R414" s="3" t="s">
        <v>37</v>
      </c>
      <c r="S414" s="3"/>
      <c r="T414" s="3"/>
      <c r="U414" s="5" t="s">
        <v>38</v>
      </c>
      <c r="V414" s="3"/>
      <c r="W414" s="3" t="s">
        <v>39</v>
      </c>
      <c r="X414" s="3" t="s">
        <v>40</v>
      </c>
      <c r="Y414" s="3" t="s">
        <v>41</v>
      </c>
      <c r="Z414" s="3" t="s">
        <v>70</v>
      </c>
      <c r="AA414" s="3" t="s">
        <v>49</v>
      </c>
      <c r="AB414" s="3" t="s">
        <v>41</v>
      </c>
      <c r="AC414" t="str">
        <f>IFERROR(VLOOKUP(C414,MigradosEfectivamente!B:B,1,FALSE),"No encontrado")</f>
        <v>No encontrado</v>
      </c>
    </row>
    <row r="415" spans="1:29" ht="45" x14ac:dyDescent="0.25">
      <c r="A415" s="3" t="s">
        <v>1587</v>
      </c>
      <c r="B415" s="3" t="s">
        <v>1588</v>
      </c>
      <c r="C415" s="3">
        <v>1005199841</v>
      </c>
      <c r="D415" s="3" t="s">
        <v>122</v>
      </c>
      <c r="E415" s="3">
        <v>573181652462</v>
      </c>
      <c r="F415" s="3" t="s">
        <v>1589</v>
      </c>
      <c r="G415" s="3">
        <v>89</v>
      </c>
      <c r="H415" s="3" t="s">
        <v>32</v>
      </c>
      <c r="I415" s="3" t="s">
        <v>33</v>
      </c>
      <c r="J415" s="3" t="s">
        <v>34</v>
      </c>
      <c r="K415" s="3"/>
      <c r="L415" s="3"/>
      <c r="M415" s="3"/>
      <c r="N415" s="3" t="s">
        <v>35</v>
      </c>
      <c r="O415" s="3" t="s">
        <v>36</v>
      </c>
      <c r="P415" s="4">
        <v>45889.754583333335</v>
      </c>
      <c r="Q415" s="3">
        <v>7777777</v>
      </c>
      <c r="R415" s="3" t="s">
        <v>37</v>
      </c>
      <c r="S415" s="3"/>
      <c r="T415" s="3"/>
      <c r="U415" s="5" t="s">
        <v>38</v>
      </c>
      <c r="V415" s="3"/>
      <c r="W415" s="3" t="s">
        <v>39</v>
      </c>
      <c r="X415" s="3" t="s">
        <v>41</v>
      </c>
      <c r="Y415" s="3" t="s">
        <v>41</v>
      </c>
      <c r="Z415" s="3" t="s">
        <v>70</v>
      </c>
      <c r="AA415" s="3" t="s">
        <v>49</v>
      </c>
      <c r="AB415" s="3" t="s">
        <v>41</v>
      </c>
      <c r="AC415">
        <f>IFERROR(VLOOKUP(C415,MigradosEfectivamente!B:B,1,FALSE),"No encontrado")</f>
        <v>1005199841</v>
      </c>
    </row>
    <row r="416" spans="1:29" ht="45" x14ac:dyDescent="0.25">
      <c r="A416" s="3" t="s">
        <v>1590</v>
      </c>
      <c r="B416" s="3" t="s">
        <v>1591</v>
      </c>
      <c r="C416" s="3">
        <v>1004878612</v>
      </c>
      <c r="D416" s="3" t="s">
        <v>169</v>
      </c>
      <c r="E416" s="3">
        <v>3205793971</v>
      </c>
      <c r="F416" s="3" t="s">
        <v>1592</v>
      </c>
      <c r="G416" s="3">
        <v>89</v>
      </c>
      <c r="H416" s="3" t="s">
        <v>69</v>
      </c>
      <c r="I416" s="3" t="s">
        <v>33</v>
      </c>
      <c r="J416" s="3" t="s">
        <v>34</v>
      </c>
      <c r="K416" s="3"/>
      <c r="L416" s="3"/>
      <c r="M416" s="3"/>
      <c r="N416" s="3" t="s">
        <v>35</v>
      </c>
      <c r="O416" s="3" t="s">
        <v>36</v>
      </c>
      <c r="P416" s="4">
        <v>45889.706018518518</v>
      </c>
      <c r="Q416" s="3">
        <v>7777777</v>
      </c>
      <c r="R416" s="3" t="s">
        <v>37</v>
      </c>
      <c r="S416" s="3"/>
      <c r="T416" s="3"/>
      <c r="U416" s="5" t="s">
        <v>38</v>
      </c>
      <c r="V416" s="3"/>
      <c r="W416" s="3" t="s">
        <v>39</v>
      </c>
      <c r="X416" s="3" t="s">
        <v>41</v>
      </c>
      <c r="Y416" s="3" t="s">
        <v>41</v>
      </c>
      <c r="Z416" s="3" t="s">
        <v>92</v>
      </c>
      <c r="AA416" s="3" t="s">
        <v>49</v>
      </c>
      <c r="AB416" s="3" t="s">
        <v>40</v>
      </c>
      <c r="AC416">
        <f>IFERROR(VLOOKUP(C416,MigradosEfectivamente!B:B,1,FALSE),"No encontrado")</f>
        <v>1004878612</v>
      </c>
    </row>
    <row r="417" spans="1:29" ht="60" x14ac:dyDescent="0.25">
      <c r="A417" s="3" t="s">
        <v>1593</v>
      </c>
      <c r="B417" s="3" t="s">
        <v>1594</v>
      </c>
      <c r="C417" s="3">
        <v>1097913244</v>
      </c>
      <c r="D417" s="3" t="s">
        <v>1595</v>
      </c>
      <c r="E417" s="3">
        <v>3043613044</v>
      </c>
      <c r="F417" s="3" t="s">
        <v>1596</v>
      </c>
      <c r="G417" s="3">
        <v>89</v>
      </c>
      <c r="H417" s="3" t="s">
        <v>110</v>
      </c>
      <c r="I417" s="3" t="s">
        <v>119</v>
      </c>
      <c r="J417" s="3" t="s">
        <v>34</v>
      </c>
      <c r="K417" s="3"/>
      <c r="L417" s="3"/>
      <c r="M417" s="3"/>
      <c r="N417" s="3" t="s">
        <v>35</v>
      </c>
      <c r="O417" s="3" t="s">
        <v>36</v>
      </c>
      <c r="P417" s="4">
        <v>45889.587581018517</v>
      </c>
      <c r="Q417" s="3">
        <v>7777777</v>
      </c>
      <c r="R417" s="3" t="s">
        <v>37</v>
      </c>
      <c r="S417" s="3"/>
      <c r="T417" s="3"/>
      <c r="U417" s="5" t="s">
        <v>38</v>
      </c>
      <c r="V417" s="3"/>
      <c r="W417" s="3" t="s">
        <v>60</v>
      </c>
      <c r="X417" s="3" t="s">
        <v>41</v>
      </c>
      <c r="Y417" s="3" t="s">
        <v>41</v>
      </c>
      <c r="Z417" s="3" t="s">
        <v>42</v>
      </c>
      <c r="AA417" s="3" t="s">
        <v>49</v>
      </c>
      <c r="AB417" s="3" t="s">
        <v>40</v>
      </c>
      <c r="AC417">
        <f>IFERROR(VLOOKUP(C417,MigradosEfectivamente!B:B,1,FALSE),"No encontrado")</f>
        <v>1097913244</v>
      </c>
    </row>
    <row r="418" spans="1:29" ht="45" x14ac:dyDescent="0.25">
      <c r="A418" s="3" t="s">
        <v>1597</v>
      </c>
      <c r="B418" s="3" t="s">
        <v>1598</v>
      </c>
      <c r="C418" s="3">
        <v>1102381129</v>
      </c>
      <c r="D418" s="3" t="s">
        <v>1599</v>
      </c>
      <c r="E418" s="3">
        <v>3164687956</v>
      </c>
      <c r="F418" s="3" t="s">
        <v>1600</v>
      </c>
      <c r="G418" s="3">
        <v>89</v>
      </c>
      <c r="H418" s="3" t="s">
        <v>59</v>
      </c>
      <c r="I418" s="3" t="s">
        <v>33</v>
      </c>
      <c r="J418" s="3" t="s">
        <v>34</v>
      </c>
      <c r="K418" s="3"/>
      <c r="L418" s="3"/>
      <c r="M418" s="3"/>
      <c r="N418" s="3" t="s">
        <v>35</v>
      </c>
      <c r="O418" s="3" t="s">
        <v>36</v>
      </c>
      <c r="P418" s="4">
        <v>45889.530717592592</v>
      </c>
      <c r="Q418" s="3">
        <v>7777777</v>
      </c>
      <c r="R418" s="3" t="s">
        <v>37</v>
      </c>
      <c r="S418" s="3"/>
      <c r="T418" s="3"/>
      <c r="U418" s="5" t="s">
        <v>38</v>
      </c>
      <c r="V418" s="3"/>
      <c r="W418" s="3" t="s">
        <v>39</v>
      </c>
      <c r="X418" s="3" t="s">
        <v>41</v>
      </c>
      <c r="Y418" s="3" t="s">
        <v>41</v>
      </c>
      <c r="Z418" s="3" t="s">
        <v>42</v>
      </c>
      <c r="AA418" s="3" t="s">
        <v>49</v>
      </c>
      <c r="AB418" s="3" t="s">
        <v>40</v>
      </c>
      <c r="AC418">
        <f>IFERROR(VLOOKUP(C418,MigradosEfectivamente!B:B,1,FALSE),"No encontrado")</f>
        <v>1102381129</v>
      </c>
    </row>
    <row r="419" spans="1:29" ht="45" x14ac:dyDescent="0.25">
      <c r="A419" s="3" t="s">
        <v>1601</v>
      </c>
      <c r="B419" s="3" t="s">
        <v>1602</v>
      </c>
      <c r="C419" s="3">
        <v>1005136716</v>
      </c>
      <c r="D419" s="3" t="s">
        <v>1603</v>
      </c>
      <c r="E419" s="3">
        <v>3005944460</v>
      </c>
      <c r="F419" s="3" t="s">
        <v>1604</v>
      </c>
      <c r="G419" s="3">
        <v>750</v>
      </c>
      <c r="H419" s="3" t="s">
        <v>110</v>
      </c>
      <c r="I419" s="3" t="s">
        <v>1585</v>
      </c>
      <c r="J419" s="3" t="s">
        <v>34</v>
      </c>
      <c r="K419" s="3"/>
      <c r="L419" s="3"/>
      <c r="M419" s="3"/>
      <c r="N419" s="3" t="s">
        <v>35</v>
      </c>
      <c r="O419" s="3" t="s">
        <v>1586</v>
      </c>
      <c r="P419" s="4">
        <v>45889.381192129629</v>
      </c>
      <c r="Q419" s="3">
        <v>7777777</v>
      </c>
      <c r="R419" s="3" t="s">
        <v>37</v>
      </c>
      <c r="S419" s="3"/>
      <c r="T419" s="3"/>
      <c r="U419" s="5" t="s">
        <v>38</v>
      </c>
      <c r="V419" s="3"/>
      <c r="W419" s="3" t="s">
        <v>39</v>
      </c>
      <c r="X419" s="3" t="s">
        <v>40</v>
      </c>
      <c r="Y419" s="3" t="s">
        <v>41</v>
      </c>
      <c r="Z419" s="3" t="s">
        <v>70</v>
      </c>
      <c r="AA419" s="3" t="s">
        <v>49</v>
      </c>
      <c r="AB419" s="3" t="s">
        <v>40</v>
      </c>
      <c r="AC419" t="str">
        <f>IFERROR(VLOOKUP(C419,MigradosEfectivamente!B:B,1,FALSE),"No encontrado")</f>
        <v>No encontrado</v>
      </c>
    </row>
    <row r="420" spans="1:29" ht="60" x14ac:dyDescent="0.25">
      <c r="A420" s="3" t="s">
        <v>1605</v>
      </c>
      <c r="B420" s="3" t="s">
        <v>1606</v>
      </c>
      <c r="C420" s="3">
        <v>1010093909</v>
      </c>
      <c r="D420" s="3" t="s">
        <v>1474</v>
      </c>
      <c r="E420" s="3">
        <v>3204564185</v>
      </c>
      <c r="F420" s="3" t="s">
        <v>234</v>
      </c>
      <c r="G420" s="3">
        <v>99</v>
      </c>
      <c r="H420" s="3" t="s">
        <v>69</v>
      </c>
      <c r="I420" s="3" t="s">
        <v>82</v>
      </c>
      <c r="J420" s="3" t="s">
        <v>34</v>
      </c>
      <c r="K420" s="3"/>
      <c r="L420" s="3"/>
      <c r="M420" s="3"/>
      <c r="N420" s="3" t="s">
        <v>35</v>
      </c>
      <c r="O420" s="3" t="s">
        <v>83</v>
      </c>
      <c r="P420" s="4">
        <v>45889.340462962966</v>
      </c>
      <c r="Q420" s="3">
        <v>7777777</v>
      </c>
      <c r="R420" s="3" t="s">
        <v>37</v>
      </c>
      <c r="S420" s="3"/>
      <c r="T420" s="3"/>
      <c r="U420" s="5" t="s">
        <v>38</v>
      </c>
      <c r="V420" s="3"/>
      <c r="W420" s="3" t="s">
        <v>60</v>
      </c>
      <c r="X420" s="3" t="s">
        <v>41</v>
      </c>
      <c r="Y420" s="3" t="s">
        <v>41</v>
      </c>
      <c r="Z420" s="3" t="s">
        <v>42</v>
      </c>
      <c r="AA420" s="3" t="s">
        <v>49</v>
      </c>
      <c r="AB420" s="3" t="s">
        <v>40</v>
      </c>
      <c r="AC420" t="str">
        <f>IFERROR(VLOOKUP(C420,MigradosEfectivamente!B:B,1,FALSE),"No encontrado")</f>
        <v>No encontrado</v>
      </c>
    </row>
    <row r="421" spans="1:29" ht="60" x14ac:dyDescent="0.25">
      <c r="A421" s="3">
        <v>22910</v>
      </c>
      <c r="B421" s="3" t="s">
        <v>1607</v>
      </c>
      <c r="C421" s="3">
        <v>1007912926</v>
      </c>
      <c r="D421" s="3" t="s">
        <v>1608</v>
      </c>
      <c r="E421" s="3">
        <v>3136118266</v>
      </c>
      <c r="F421" s="3" t="s">
        <v>1609</v>
      </c>
      <c r="G421" s="3">
        <v>99</v>
      </c>
      <c r="H421" s="3" t="s">
        <v>269</v>
      </c>
      <c r="I421" s="3" t="s">
        <v>82</v>
      </c>
      <c r="J421" s="3" t="s">
        <v>34</v>
      </c>
      <c r="K421" s="3"/>
      <c r="L421" s="3"/>
      <c r="M421" s="3"/>
      <c r="N421" s="3" t="s">
        <v>35</v>
      </c>
      <c r="O421" s="3" t="s">
        <v>83</v>
      </c>
      <c r="P421" s="4">
        <v>45889.337337962963</v>
      </c>
      <c r="Q421" s="3">
        <v>7777777</v>
      </c>
      <c r="R421" s="3" t="s">
        <v>37</v>
      </c>
      <c r="S421" s="3"/>
      <c r="T421" s="3"/>
      <c r="U421" s="5" t="s">
        <v>38</v>
      </c>
      <c r="V421" s="3"/>
      <c r="W421" s="3" t="s">
        <v>60</v>
      </c>
      <c r="X421" s="3" t="s">
        <v>40</v>
      </c>
      <c r="Y421" s="3" t="s">
        <v>41</v>
      </c>
      <c r="Z421" s="3" t="s">
        <v>42</v>
      </c>
      <c r="AA421" s="3" t="s">
        <v>49</v>
      </c>
      <c r="AB421" s="3" t="s">
        <v>40</v>
      </c>
      <c r="AC421" t="str">
        <f>IFERROR(VLOOKUP(C421,MigradosEfectivamente!B:B,1,FALSE),"No encontrado")</f>
        <v>No encontrado</v>
      </c>
    </row>
    <row r="422" spans="1:29" ht="15" x14ac:dyDescent="0.25"/>
    <row r="423" spans="1:29" ht="15" x14ac:dyDescent="0.25"/>
    <row r="424" spans="1:29" ht="15" x14ac:dyDescent="0.25"/>
    <row r="425" spans="1:29" ht="15" x14ac:dyDescent="0.25"/>
    <row r="426" spans="1:29" ht="15" x14ac:dyDescent="0.25"/>
    <row r="427" spans="1:29" ht="15" x14ac:dyDescent="0.25"/>
    <row r="428" spans="1:29" ht="15" x14ac:dyDescent="0.25"/>
    <row r="429" spans="1:29" ht="15" x14ac:dyDescent="0.25"/>
    <row r="430" spans="1:29" ht="15" x14ac:dyDescent="0.25"/>
    <row r="431" spans="1:29" ht="15" x14ac:dyDescent="0.25"/>
    <row r="432" spans="1:29" ht="15" x14ac:dyDescent="0.25"/>
    <row r="433" ht="15" x14ac:dyDescent="0.25"/>
    <row r="434" ht="15" x14ac:dyDescent="0.25"/>
    <row r="435" ht="15" x14ac:dyDescent="0.25"/>
    <row r="436" ht="15" x14ac:dyDescent="0.25"/>
    <row r="437" ht="15" x14ac:dyDescent="0.25"/>
    <row r="438" ht="15" x14ac:dyDescent="0.25"/>
    <row r="439" ht="15" x14ac:dyDescent="0.25"/>
    <row r="440" ht="15" x14ac:dyDescent="0.25"/>
    <row r="441" ht="15" x14ac:dyDescent="0.25"/>
    <row r="442" ht="15" x14ac:dyDescent="0.25"/>
    <row r="443" ht="15" x14ac:dyDescent="0.25"/>
    <row r="444" ht="15" x14ac:dyDescent="0.25"/>
    <row r="445" ht="15" x14ac:dyDescent="0.25"/>
    <row r="446" ht="15" x14ac:dyDescent="0.25"/>
    <row r="447" ht="15" x14ac:dyDescent="0.25"/>
    <row r="448" ht="15" x14ac:dyDescent="0.25"/>
    <row r="449" ht="15" x14ac:dyDescent="0.25"/>
    <row r="450" ht="15" x14ac:dyDescent="0.25"/>
    <row r="451" ht="15" x14ac:dyDescent="0.25"/>
    <row r="452" ht="15" x14ac:dyDescent="0.25"/>
    <row r="453" ht="15" x14ac:dyDescent="0.25"/>
    <row r="454" ht="15" x14ac:dyDescent="0.25"/>
    <row r="455" ht="15" x14ac:dyDescent="0.25"/>
    <row r="456" ht="15" x14ac:dyDescent="0.25"/>
    <row r="457" ht="15" x14ac:dyDescent="0.25"/>
    <row r="458" ht="15" x14ac:dyDescent="0.25"/>
    <row r="459" ht="15" x14ac:dyDescent="0.25"/>
    <row r="460" ht="15" x14ac:dyDescent="0.25"/>
    <row r="461" ht="15" x14ac:dyDescent="0.25"/>
    <row r="462" ht="15" x14ac:dyDescent="0.25"/>
    <row r="463" ht="15" x14ac:dyDescent="0.25"/>
    <row r="464" ht="15" x14ac:dyDescent="0.25"/>
    <row r="465" ht="15" x14ac:dyDescent="0.25"/>
    <row r="466" ht="15" x14ac:dyDescent="0.25"/>
    <row r="467" ht="15" x14ac:dyDescent="0.25"/>
    <row r="468" ht="15" x14ac:dyDescent="0.25"/>
    <row r="469" ht="15" x14ac:dyDescent="0.25"/>
    <row r="470" ht="15" x14ac:dyDescent="0.25"/>
    <row r="471" ht="15" x14ac:dyDescent="0.25"/>
    <row r="472" ht="15" x14ac:dyDescent="0.25"/>
    <row r="473" ht="15" x14ac:dyDescent="0.25"/>
    <row r="474" ht="15" x14ac:dyDescent="0.25"/>
    <row r="475" ht="15" x14ac:dyDescent="0.25"/>
    <row r="476" ht="15" x14ac:dyDescent="0.25"/>
    <row r="477" ht="15" x14ac:dyDescent="0.25"/>
    <row r="478" ht="15" x14ac:dyDescent="0.25"/>
    <row r="479" ht="15" x14ac:dyDescent="0.25"/>
    <row r="480" ht="15" x14ac:dyDescent="0.25"/>
    <row r="481" ht="15" x14ac:dyDescent="0.25"/>
    <row r="482" ht="15" x14ac:dyDescent="0.25"/>
    <row r="483" ht="15" x14ac:dyDescent="0.25"/>
    <row r="484" ht="15" x14ac:dyDescent="0.25"/>
    <row r="485" ht="15" x14ac:dyDescent="0.25"/>
    <row r="486" ht="15" x14ac:dyDescent="0.25"/>
    <row r="487" ht="15" x14ac:dyDescent="0.25"/>
    <row r="488" ht="15" x14ac:dyDescent="0.25"/>
    <row r="489" ht="15" x14ac:dyDescent="0.25"/>
    <row r="490" ht="15" x14ac:dyDescent="0.25"/>
    <row r="491" ht="15" x14ac:dyDescent="0.25"/>
    <row r="492" ht="15" x14ac:dyDescent="0.25"/>
    <row r="493" ht="15" x14ac:dyDescent="0.25"/>
    <row r="494" ht="15" x14ac:dyDescent="0.25"/>
    <row r="495" ht="15" x14ac:dyDescent="0.25"/>
    <row r="496" ht="15" x14ac:dyDescent="0.25"/>
    <row r="497" ht="15" x14ac:dyDescent="0.25"/>
    <row r="498" ht="15" x14ac:dyDescent="0.25"/>
    <row r="499" ht="15" x14ac:dyDescent="0.25"/>
    <row r="500" ht="15" x14ac:dyDescent="0.25"/>
    <row r="501" ht="15" x14ac:dyDescent="0.25"/>
    <row r="502" ht="15" x14ac:dyDescent="0.25"/>
    <row r="503" ht="15" x14ac:dyDescent="0.25"/>
    <row r="504" ht="15" x14ac:dyDescent="0.25"/>
    <row r="505" ht="15" x14ac:dyDescent="0.25"/>
    <row r="506" ht="15" x14ac:dyDescent="0.25"/>
    <row r="507" ht="15" x14ac:dyDescent="0.25"/>
    <row r="508" ht="15" x14ac:dyDescent="0.25"/>
    <row r="509" ht="15" x14ac:dyDescent="0.25"/>
    <row r="510" ht="15" x14ac:dyDescent="0.25"/>
    <row r="511" ht="15" x14ac:dyDescent="0.25"/>
    <row r="512" ht="15" x14ac:dyDescent="0.25"/>
    <row r="513" ht="15" x14ac:dyDescent="0.25"/>
    <row r="514" ht="15" x14ac:dyDescent="0.25"/>
    <row r="515" ht="15" x14ac:dyDescent="0.25"/>
    <row r="516" ht="15" x14ac:dyDescent="0.25"/>
    <row r="517" ht="15" x14ac:dyDescent="0.25"/>
    <row r="518" ht="15" x14ac:dyDescent="0.25"/>
    <row r="519" ht="15" x14ac:dyDescent="0.25"/>
    <row r="520" ht="15" x14ac:dyDescent="0.25"/>
    <row r="521" ht="15" x14ac:dyDescent="0.25"/>
    <row r="522" ht="15" x14ac:dyDescent="0.25"/>
    <row r="523" ht="15" x14ac:dyDescent="0.25"/>
    <row r="524" ht="15" x14ac:dyDescent="0.25"/>
    <row r="525" ht="15" x14ac:dyDescent="0.25"/>
    <row r="526" ht="15" x14ac:dyDescent="0.25"/>
    <row r="527" ht="15" x14ac:dyDescent="0.25"/>
    <row r="528" ht="15" x14ac:dyDescent="0.25"/>
    <row r="529" ht="15" x14ac:dyDescent="0.25"/>
    <row r="530" ht="15" x14ac:dyDescent="0.25"/>
    <row r="531" ht="15" x14ac:dyDescent="0.25"/>
    <row r="532" ht="15" x14ac:dyDescent="0.25"/>
    <row r="533" ht="15" x14ac:dyDescent="0.25"/>
    <row r="534" ht="15" x14ac:dyDescent="0.25"/>
    <row r="535" ht="15" x14ac:dyDescent="0.25"/>
    <row r="536" ht="15" x14ac:dyDescent="0.25"/>
    <row r="537" ht="15" x14ac:dyDescent="0.25"/>
    <row r="538" ht="15" x14ac:dyDescent="0.25"/>
    <row r="539" ht="15" x14ac:dyDescent="0.25"/>
    <row r="540" ht="15" x14ac:dyDescent="0.25"/>
    <row r="541" ht="15" x14ac:dyDescent="0.25"/>
    <row r="542" ht="15" x14ac:dyDescent="0.25"/>
    <row r="543" ht="15" x14ac:dyDescent="0.25"/>
    <row r="544" ht="15" x14ac:dyDescent="0.25"/>
    <row r="545" ht="15" x14ac:dyDescent="0.25"/>
    <row r="546" ht="15" x14ac:dyDescent="0.25"/>
    <row r="547" ht="15" x14ac:dyDescent="0.25"/>
    <row r="548" ht="15" x14ac:dyDescent="0.25"/>
    <row r="549" ht="15" x14ac:dyDescent="0.25"/>
    <row r="550" ht="15" x14ac:dyDescent="0.25"/>
    <row r="551" ht="15" x14ac:dyDescent="0.25"/>
    <row r="552" ht="15" x14ac:dyDescent="0.25"/>
    <row r="553" ht="15" x14ac:dyDescent="0.25"/>
    <row r="554" ht="15" x14ac:dyDescent="0.25"/>
    <row r="555" ht="15" x14ac:dyDescent="0.25"/>
    <row r="556" ht="15" x14ac:dyDescent="0.25"/>
    <row r="557" ht="15" x14ac:dyDescent="0.25"/>
    <row r="558" ht="15" x14ac:dyDescent="0.25"/>
    <row r="559" ht="15" x14ac:dyDescent="0.25"/>
    <row r="560" ht="15" x14ac:dyDescent="0.25"/>
    <row r="561" ht="15" x14ac:dyDescent="0.25"/>
  </sheetData>
  <autoFilter ref="A1:AC421" xr:uid="{75488F1B-D23A-4725-B6B2-222137DD67BF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59EE4-92F3-4DB1-A498-A9D9E3C7A7BE}">
  <dimension ref="A1:AA225"/>
  <sheetViews>
    <sheetView workbookViewId="0"/>
  </sheetViews>
  <sheetFormatPr baseColWidth="10" defaultRowHeight="15" x14ac:dyDescent="0.25"/>
  <cols>
    <col min="1" max="1" width="11.85546875" bestFit="1" customWidth="1"/>
    <col min="2" max="2" width="20.85546875" bestFit="1" customWidth="1"/>
    <col min="3" max="3" width="19.5703125" bestFit="1" customWidth="1"/>
    <col min="4" max="4" width="19.140625" bestFit="1" customWidth="1"/>
    <col min="5" max="5" width="24.28515625" bestFit="1" customWidth="1"/>
    <col min="6" max="6" width="16.7109375" bestFit="1" customWidth="1"/>
    <col min="7" max="7" width="41.28515625" bestFit="1" customWidth="1"/>
    <col min="8" max="8" width="15.28515625" bestFit="1" customWidth="1"/>
    <col min="9" max="9" width="55" bestFit="1" customWidth="1"/>
    <col min="10" max="10" width="18.42578125" bestFit="1" customWidth="1"/>
    <col min="11" max="11" width="19" bestFit="1" customWidth="1"/>
    <col min="12" max="12" width="14.140625" bestFit="1" customWidth="1"/>
    <col min="13" max="13" width="11.7109375" bestFit="1" customWidth="1"/>
    <col min="14" max="14" width="9.5703125" bestFit="1" customWidth="1"/>
    <col min="15" max="15" width="22.28515625" bestFit="1" customWidth="1"/>
    <col min="16" max="16" width="15.85546875" bestFit="1" customWidth="1"/>
    <col min="17" max="17" width="13.7109375" bestFit="1" customWidth="1"/>
    <col min="18" max="18" width="8.42578125" bestFit="1" customWidth="1"/>
    <col min="19" max="19" width="29.140625" bestFit="1" customWidth="1"/>
    <col min="20" max="20" width="13.42578125" bestFit="1" customWidth="1"/>
    <col min="21" max="21" width="18.5703125" bestFit="1" customWidth="1"/>
    <col min="22" max="22" width="11.85546875" bestFit="1" customWidth="1"/>
    <col min="23" max="23" width="16.28515625" bestFit="1" customWidth="1"/>
    <col min="24" max="24" width="17" bestFit="1" customWidth="1"/>
    <col min="25" max="25" width="20.140625" bestFit="1" customWidth="1"/>
    <col min="26" max="26" width="58.5703125" bestFit="1" customWidth="1"/>
    <col min="27" max="27" width="17.28515625" customWidth="1"/>
  </cols>
  <sheetData>
    <row r="1" spans="1:27" x14ac:dyDescent="0.25">
      <c r="A1" t="s">
        <v>1610</v>
      </c>
      <c r="B1" t="s">
        <v>1611</v>
      </c>
      <c r="C1" t="s">
        <v>1612</v>
      </c>
      <c r="D1" t="s">
        <v>1613</v>
      </c>
      <c r="E1" t="s">
        <v>1614</v>
      </c>
      <c r="F1" t="s">
        <v>1615</v>
      </c>
      <c r="G1" t="s">
        <v>1616</v>
      </c>
      <c r="H1" t="s">
        <v>1617</v>
      </c>
      <c r="I1" t="s">
        <v>1618</v>
      </c>
      <c r="J1" t="s">
        <v>1619</v>
      </c>
      <c r="K1" t="s">
        <v>1620</v>
      </c>
      <c r="L1" t="s">
        <v>1621</v>
      </c>
      <c r="M1" t="s">
        <v>1622</v>
      </c>
      <c r="N1" t="s">
        <v>1623</v>
      </c>
      <c r="O1" t="s">
        <v>1624</v>
      </c>
      <c r="P1" t="s">
        <v>1625</v>
      </c>
      <c r="Q1" t="s">
        <v>1626</v>
      </c>
      <c r="R1" t="s">
        <v>1627</v>
      </c>
      <c r="S1" t="s">
        <v>1628</v>
      </c>
      <c r="T1" t="s">
        <v>1629</v>
      </c>
      <c r="U1" t="s">
        <v>1630</v>
      </c>
      <c r="V1" t="s">
        <v>1631</v>
      </c>
      <c r="W1" t="s">
        <v>1632</v>
      </c>
      <c r="X1" t="s">
        <v>1633</v>
      </c>
      <c r="Y1" t="s">
        <v>1634</v>
      </c>
      <c r="Z1" t="s">
        <v>1635</v>
      </c>
      <c r="AA1" t="s">
        <v>2396</v>
      </c>
    </row>
    <row r="2" spans="1:27" x14ac:dyDescent="0.25">
      <c r="A2">
        <v>2135</v>
      </c>
      <c r="B2">
        <v>1098682492</v>
      </c>
      <c r="C2">
        <v>3</v>
      </c>
      <c r="D2" s="6" t="s">
        <v>1636</v>
      </c>
      <c r="E2" s="6" t="s">
        <v>1637</v>
      </c>
      <c r="F2">
        <v>3164353062</v>
      </c>
      <c r="G2" s="6" t="s">
        <v>582</v>
      </c>
      <c r="H2" s="6" t="s">
        <v>1638</v>
      </c>
      <c r="I2" s="6" t="s">
        <v>1638</v>
      </c>
      <c r="J2" s="6" t="s">
        <v>1639</v>
      </c>
      <c r="K2" s="7">
        <v>39483</v>
      </c>
      <c r="L2" s="6" t="s">
        <v>1638</v>
      </c>
      <c r="M2">
        <v>1</v>
      </c>
      <c r="N2">
        <v>10</v>
      </c>
      <c r="O2" s="6" t="s">
        <v>1638</v>
      </c>
      <c r="P2" s="6" t="s">
        <v>1638</v>
      </c>
      <c r="Q2" s="6" t="s">
        <v>1638</v>
      </c>
      <c r="R2" s="6" t="s">
        <v>1638</v>
      </c>
      <c r="S2" s="6" t="s">
        <v>1638</v>
      </c>
      <c r="T2" s="6" t="s">
        <v>1638</v>
      </c>
      <c r="U2" s="6" t="s">
        <v>1638</v>
      </c>
      <c r="V2" s="6" t="s">
        <v>1638</v>
      </c>
      <c r="W2" s="6" t="s">
        <v>1640</v>
      </c>
      <c r="X2" s="7">
        <v>45916</v>
      </c>
      <c r="Y2">
        <v>0</v>
      </c>
      <c r="Z2" s="6" t="s">
        <v>1638</v>
      </c>
      <c r="AA2" s="6">
        <f>IFERROR(VLOOKUP(B2,BD_Clez_Premigracion!C:C,1,FALSE),"No encontrado")</f>
        <v>1098682492</v>
      </c>
    </row>
    <row r="3" spans="1:27" x14ac:dyDescent="0.25">
      <c r="A3">
        <v>2136</v>
      </c>
      <c r="B3">
        <v>1030542921</v>
      </c>
      <c r="C3">
        <v>1</v>
      </c>
      <c r="D3" s="6" t="s">
        <v>1641</v>
      </c>
      <c r="E3" s="6" t="s">
        <v>1642</v>
      </c>
      <c r="F3">
        <v>3196218540</v>
      </c>
      <c r="G3" s="6" t="s">
        <v>53</v>
      </c>
      <c r="H3" s="6" t="s">
        <v>1638</v>
      </c>
      <c r="I3" s="6" t="s">
        <v>1638</v>
      </c>
      <c r="J3" s="6" t="s">
        <v>1639</v>
      </c>
      <c r="K3" s="7">
        <v>38041</v>
      </c>
      <c r="L3" s="6" t="s">
        <v>1638</v>
      </c>
      <c r="M3">
        <v>2</v>
      </c>
      <c r="N3">
        <v>10</v>
      </c>
      <c r="O3" s="6" t="s">
        <v>1638</v>
      </c>
      <c r="P3" s="6" t="s">
        <v>1638</v>
      </c>
      <c r="Q3" s="6" t="s">
        <v>1638</v>
      </c>
      <c r="R3" s="6" t="s">
        <v>1638</v>
      </c>
      <c r="S3" s="6" t="s">
        <v>1638</v>
      </c>
      <c r="T3" s="6" t="s">
        <v>1638</v>
      </c>
      <c r="U3" s="6" t="s">
        <v>1638</v>
      </c>
      <c r="V3" s="6" t="s">
        <v>1638</v>
      </c>
      <c r="W3" s="6" t="s">
        <v>1640</v>
      </c>
      <c r="X3" s="7">
        <v>45916</v>
      </c>
      <c r="Y3">
        <v>0</v>
      </c>
      <c r="Z3" s="6" t="s">
        <v>1638</v>
      </c>
      <c r="AA3" s="6">
        <f>IFERROR(VLOOKUP(B3,BD_Clez_Premigracion!C:C,1,FALSE),"No encontrado")</f>
        <v>1030542921</v>
      </c>
    </row>
    <row r="4" spans="1:27" x14ac:dyDescent="0.25">
      <c r="A4">
        <v>2137</v>
      </c>
      <c r="B4">
        <v>1098649193</v>
      </c>
      <c r="C4">
        <v>1</v>
      </c>
      <c r="D4" s="6" t="s">
        <v>1643</v>
      </c>
      <c r="E4" s="6" t="s">
        <v>1644</v>
      </c>
      <c r="F4">
        <v>3102944662</v>
      </c>
      <c r="G4" s="6" t="s">
        <v>1645</v>
      </c>
      <c r="H4" s="6" t="s">
        <v>1638</v>
      </c>
      <c r="I4" s="6" t="s">
        <v>1638</v>
      </c>
      <c r="J4" s="6" t="s">
        <v>1639</v>
      </c>
      <c r="K4" s="7">
        <v>32180</v>
      </c>
      <c r="L4" s="6" t="s">
        <v>1638</v>
      </c>
      <c r="M4">
        <v>2</v>
      </c>
      <c r="N4">
        <v>8</v>
      </c>
      <c r="O4" s="6" t="s">
        <v>1638</v>
      </c>
      <c r="P4" s="6" t="s">
        <v>1638</v>
      </c>
      <c r="Q4" s="6" t="s">
        <v>1638</v>
      </c>
      <c r="R4" s="6" t="s">
        <v>1638</v>
      </c>
      <c r="S4" s="6" t="s">
        <v>1638</v>
      </c>
      <c r="T4" s="6" t="s">
        <v>1638</v>
      </c>
      <c r="U4" s="6" t="s">
        <v>1638</v>
      </c>
      <c r="V4" s="6" t="s">
        <v>1638</v>
      </c>
      <c r="W4" s="6" t="s">
        <v>1640</v>
      </c>
      <c r="X4" s="7">
        <v>45916</v>
      </c>
      <c r="Y4">
        <v>0</v>
      </c>
      <c r="Z4" s="6" t="s">
        <v>1638</v>
      </c>
      <c r="AA4" s="6">
        <f>IFERROR(VLOOKUP(B4,BD_Clez_Premigracion!C:C,1,FALSE),"No encontrado")</f>
        <v>1098649193</v>
      </c>
    </row>
    <row r="5" spans="1:27" x14ac:dyDescent="0.25">
      <c r="A5">
        <v>2138</v>
      </c>
      <c r="B5">
        <v>1098635512</v>
      </c>
      <c r="C5">
        <v>1</v>
      </c>
      <c r="D5" s="6" t="s">
        <v>1646</v>
      </c>
      <c r="E5" s="6" t="s">
        <v>1647</v>
      </c>
      <c r="F5">
        <v>3169075502</v>
      </c>
      <c r="G5" s="6" t="s">
        <v>1648</v>
      </c>
      <c r="H5" s="6" t="s">
        <v>1638</v>
      </c>
      <c r="I5" s="6" t="s">
        <v>1638</v>
      </c>
      <c r="J5" s="6" t="s">
        <v>1639</v>
      </c>
      <c r="K5" s="7">
        <v>38459</v>
      </c>
      <c r="L5" s="6" t="s">
        <v>1638</v>
      </c>
      <c r="M5">
        <v>1</v>
      </c>
      <c r="N5">
        <v>10</v>
      </c>
      <c r="O5" s="6" t="s">
        <v>1638</v>
      </c>
      <c r="P5" s="6" t="s">
        <v>1638</v>
      </c>
      <c r="Q5" s="6" t="s">
        <v>1638</v>
      </c>
      <c r="R5" s="6" t="s">
        <v>1638</v>
      </c>
      <c r="S5" s="6" t="s">
        <v>1638</v>
      </c>
      <c r="T5" s="6" t="s">
        <v>1638</v>
      </c>
      <c r="U5" s="6" t="s">
        <v>1638</v>
      </c>
      <c r="V5" s="6" t="s">
        <v>1638</v>
      </c>
      <c r="W5" s="6" t="s">
        <v>1640</v>
      </c>
      <c r="X5" s="7">
        <v>45916</v>
      </c>
      <c r="Y5">
        <v>0</v>
      </c>
      <c r="Z5" s="6" t="s">
        <v>1638</v>
      </c>
      <c r="AA5" s="6" t="str">
        <f>IFERROR(VLOOKUP(B5,BD_Clez_Premigracion!C:C,1,FALSE),"No encontrado")</f>
        <v>No encontrado</v>
      </c>
    </row>
    <row r="6" spans="1:27" x14ac:dyDescent="0.25">
      <c r="A6">
        <v>2144</v>
      </c>
      <c r="B6">
        <v>1098800251</v>
      </c>
      <c r="C6">
        <v>1</v>
      </c>
      <c r="D6" s="6" t="s">
        <v>1649</v>
      </c>
      <c r="E6" s="6" t="s">
        <v>1650</v>
      </c>
      <c r="F6">
        <v>3178539153</v>
      </c>
      <c r="G6" s="6" t="s">
        <v>1651</v>
      </c>
      <c r="H6" s="6" t="s">
        <v>1638</v>
      </c>
      <c r="I6" s="6" t="s">
        <v>1638</v>
      </c>
      <c r="J6" s="6" t="s">
        <v>1639</v>
      </c>
      <c r="K6" s="7">
        <v>35684</v>
      </c>
      <c r="L6" s="6" t="s">
        <v>1638</v>
      </c>
      <c r="M6">
        <v>2</v>
      </c>
      <c r="N6">
        <v>8</v>
      </c>
      <c r="O6" s="6" t="s">
        <v>1638</v>
      </c>
      <c r="P6" s="6" t="s">
        <v>1638</v>
      </c>
      <c r="Q6" s="6" t="s">
        <v>1638</v>
      </c>
      <c r="R6" s="6" t="s">
        <v>1638</v>
      </c>
      <c r="S6" s="6" t="s">
        <v>1638</v>
      </c>
      <c r="T6" s="6" t="s">
        <v>1638</v>
      </c>
      <c r="U6" s="6" t="s">
        <v>1638</v>
      </c>
      <c r="V6" s="6" t="s">
        <v>1638</v>
      </c>
      <c r="W6" s="6" t="s">
        <v>1640</v>
      </c>
      <c r="X6" s="7">
        <v>45917</v>
      </c>
      <c r="Y6">
        <v>0</v>
      </c>
      <c r="Z6" s="6" t="s">
        <v>1638</v>
      </c>
      <c r="AA6" s="6" t="str">
        <f>IFERROR(VLOOKUP(B6,BD_Clez_Premigracion!C:C,1,FALSE),"No encontrado")</f>
        <v>No encontrado</v>
      </c>
    </row>
    <row r="7" spans="1:27" x14ac:dyDescent="0.25">
      <c r="A7">
        <v>2148</v>
      </c>
      <c r="B7">
        <v>1140831066</v>
      </c>
      <c r="C7">
        <v>1</v>
      </c>
      <c r="D7" s="6" t="s">
        <v>1652</v>
      </c>
      <c r="E7" s="6" t="s">
        <v>1653</v>
      </c>
      <c r="F7">
        <v>3115430198</v>
      </c>
      <c r="G7" s="6" t="s">
        <v>1654</v>
      </c>
      <c r="H7" s="6" t="s">
        <v>1638</v>
      </c>
      <c r="I7" s="6" t="s">
        <v>1638</v>
      </c>
      <c r="J7" s="6" t="s">
        <v>1639</v>
      </c>
      <c r="K7" s="7">
        <v>33045</v>
      </c>
      <c r="L7" s="6" t="s">
        <v>1638</v>
      </c>
      <c r="M7">
        <v>1</v>
      </c>
      <c r="N7">
        <v>8</v>
      </c>
      <c r="O7" s="6" t="s">
        <v>1638</v>
      </c>
      <c r="P7" s="6" t="s">
        <v>1638</v>
      </c>
      <c r="Q7" s="6" t="s">
        <v>1638</v>
      </c>
      <c r="R7" s="6" t="s">
        <v>1638</v>
      </c>
      <c r="S7" s="6" t="s">
        <v>1638</v>
      </c>
      <c r="T7" s="6" t="s">
        <v>1638</v>
      </c>
      <c r="U7" s="6" t="s">
        <v>1638</v>
      </c>
      <c r="V7" s="6" t="s">
        <v>1638</v>
      </c>
      <c r="W7" s="6" t="s">
        <v>1640</v>
      </c>
      <c r="X7" s="7">
        <v>45917</v>
      </c>
      <c r="Y7">
        <v>0</v>
      </c>
      <c r="Z7" s="6" t="s">
        <v>1638</v>
      </c>
      <c r="AA7" s="6" t="str">
        <f>IFERROR(VLOOKUP(B7,BD_Clez_Premigracion!C:C,1,FALSE),"No encontrado")</f>
        <v>No encontrado</v>
      </c>
    </row>
    <row r="8" spans="1:27" x14ac:dyDescent="0.25">
      <c r="A8">
        <v>2152</v>
      </c>
      <c r="B8">
        <v>1097182426</v>
      </c>
      <c r="C8">
        <v>1</v>
      </c>
      <c r="D8" s="6" t="s">
        <v>1655</v>
      </c>
      <c r="E8" s="6" t="s">
        <v>1656</v>
      </c>
      <c r="F8">
        <v>3219316506</v>
      </c>
      <c r="G8" s="6" t="s">
        <v>1657</v>
      </c>
      <c r="H8" s="6" t="s">
        <v>1638</v>
      </c>
      <c r="I8" s="6" t="s">
        <v>1638</v>
      </c>
      <c r="J8" s="6" t="s">
        <v>1639</v>
      </c>
      <c r="K8" s="7">
        <v>38204</v>
      </c>
      <c r="L8" s="6" t="s">
        <v>1638</v>
      </c>
      <c r="M8">
        <v>2</v>
      </c>
      <c r="N8">
        <v>8</v>
      </c>
      <c r="O8" s="6" t="s">
        <v>1638</v>
      </c>
      <c r="P8" s="6" t="s">
        <v>1638</v>
      </c>
      <c r="Q8" s="6" t="s">
        <v>1638</v>
      </c>
      <c r="R8" s="6" t="s">
        <v>1638</v>
      </c>
      <c r="S8" s="6" t="s">
        <v>1638</v>
      </c>
      <c r="T8" s="6" t="s">
        <v>1638</v>
      </c>
      <c r="U8" s="6" t="s">
        <v>1638</v>
      </c>
      <c r="V8" s="6" t="s">
        <v>1638</v>
      </c>
      <c r="W8" s="6" t="s">
        <v>1640</v>
      </c>
      <c r="X8" s="7">
        <v>45917</v>
      </c>
      <c r="Y8">
        <v>0</v>
      </c>
      <c r="Z8" s="6" t="s">
        <v>1638</v>
      </c>
      <c r="AA8" s="6" t="str">
        <f>IFERROR(VLOOKUP(B8,BD_Clez_Premigracion!C:C,1,FALSE),"No encontrado")</f>
        <v>No encontrado</v>
      </c>
    </row>
    <row r="9" spans="1:27" x14ac:dyDescent="0.25">
      <c r="A9">
        <v>2139</v>
      </c>
      <c r="B9">
        <v>5081664</v>
      </c>
      <c r="C9">
        <v>6</v>
      </c>
      <c r="D9" s="6" t="s">
        <v>1658</v>
      </c>
      <c r="E9" s="6" t="s">
        <v>1659</v>
      </c>
      <c r="F9">
        <v>3505347893</v>
      </c>
      <c r="G9" s="6" t="s">
        <v>1660</v>
      </c>
      <c r="H9" s="6" t="s">
        <v>1638</v>
      </c>
      <c r="I9" s="6" t="s">
        <v>1638</v>
      </c>
      <c r="J9" s="6" t="s">
        <v>1639</v>
      </c>
      <c r="K9" s="7">
        <v>35466</v>
      </c>
      <c r="L9" s="6" t="s">
        <v>1638</v>
      </c>
      <c r="M9">
        <v>2</v>
      </c>
      <c r="N9">
        <v>10</v>
      </c>
      <c r="O9" s="6" t="s">
        <v>1638</v>
      </c>
      <c r="P9" s="6" t="s">
        <v>1638</v>
      </c>
      <c r="Q9" s="6" t="s">
        <v>1638</v>
      </c>
      <c r="R9" s="6" t="s">
        <v>1638</v>
      </c>
      <c r="S9" s="6" t="s">
        <v>1638</v>
      </c>
      <c r="T9" s="6" t="s">
        <v>1638</v>
      </c>
      <c r="U9" s="6" t="s">
        <v>1638</v>
      </c>
      <c r="V9" s="6" t="s">
        <v>1638</v>
      </c>
      <c r="W9" s="6" t="s">
        <v>35</v>
      </c>
      <c r="X9" s="7">
        <v>45916</v>
      </c>
      <c r="Y9">
        <v>0</v>
      </c>
      <c r="Z9" s="6" t="s">
        <v>1638</v>
      </c>
      <c r="AA9" s="6" t="str">
        <f>IFERROR(VLOOKUP(B9,BD_Clez_Premigracion!C:C,1,FALSE),"No encontrado")</f>
        <v>No encontrado</v>
      </c>
    </row>
    <row r="10" spans="1:27" x14ac:dyDescent="0.25">
      <c r="A10">
        <v>2153</v>
      </c>
      <c r="B10">
        <v>1193374427</v>
      </c>
      <c r="C10">
        <v>1</v>
      </c>
      <c r="D10" s="6" t="s">
        <v>1661</v>
      </c>
      <c r="E10" s="6" t="s">
        <v>1662</v>
      </c>
      <c r="F10">
        <v>3197647367</v>
      </c>
      <c r="G10" s="6" t="s">
        <v>803</v>
      </c>
      <c r="H10" s="6" t="s">
        <v>1638</v>
      </c>
      <c r="I10" s="6" t="s">
        <v>1638</v>
      </c>
      <c r="J10" s="6" t="s">
        <v>1663</v>
      </c>
      <c r="K10" s="7">
        <v>36909</v>
      </c>
      <c r="L10" s="6" t="s">
        <v>1638</v>
      </c>
      <c r="M10">
        <v>2</v>
      </c>
      <c r="N10">
        <v>6</v>
      </c>
      <c r="O10" s="6" t="s">
        <v>1638</v>
      </c>
      <c r="P10" s="6" t="s">
        <v>1638</v>
      </c>
      <c r="Q10" s="6" t="s">
        <v>1638</v>
      </c>
      <c r="R10" s="6" t="s">
        <v>1638</v>
      </c>
      <c r="S10" s="6" t="s">
        <v>1638</v>
      </c>
      <c r="T10" s="6" t="s">
        <v>1638</v>
      </c>
      <c r="U10" s="6" t="s">
        <v>1638</v>
      </c>
      <c r="V10" s="6" t="s">
        <v>1638</v>
      </c>
      <c r="W10" s="6" t="s">
        <v>1640</v>
      </c>
      <c r="X10" s="7">
        <v>45918</v>
      </c>
      <c r="Y10">
        <v>0</v>
      </c>
      <c r="Z10" s="6" t="s">
        <v>1638</v>
      </c>
      <c r="AA10" s="6">
        <f>IFERROR(VLOOKUP(B10,BD_Clez_Premigracion!C:C,1,FALSE),"No encontrado")</f>
        <v>1193374427</v>
      </c>
    </row>
    <row r="11" spans="1:27" x14ac:dyDescent="0.25">
      <c r="A11">
        <v>2156</v>
      </c>
      <c r="B11">
        <v>1093777011</v>
      </c>
      <c r="C11">
        <v>1</v>
      </c>
      <c r="D11" s="6" t="s">
        <v>1664</v>
      </c>
      <c r="E11" s="6" t="s">
        <v>1665</v>
      </c>
      <c r="F11">
        <v>3224020128</v>
      </c>
      <c r="G11" s="6" t="s">
        <v>1666</v>
      </c>
      <c r="H11" s="6" t="s">
        <v>1638</v>
      </c>
      <c r="I11" s="6" t="s">
        <v>1638</v>
      </c>
      <c r="J11" s="6" t="s">
        <v>1663</v>
      </c>
      <c r="K11" s="7">
        <v>34735</v>
      </c>
      <c r="L11" s="6" t="s">
        <v>1638</v>
      </c>
      <c r="M11">
        <v>1</v>
      </c>
      <c r="N11">
        <v>6</v>
      </c>
      <c r="O11" s="6" t="s">
        <v>1638</v>
      </c>
      <c r="P11" s="6" t="s">
        <v>1638</v>
      </c>
      <c r="Q11" s="6" t="s">
        <v>1638</v>
      </c>
      <c r="R11" s="6" t="s">
        <v>1638</v>
      </c>
      <c r="S11" s="6" t="s">
        <v>1638</v>
      </c>
      <c r="T11" s="6" t="s">
        <v>1638</v>
      </c>
      <c r="U11" s="6" t="s">
        <v>1638</v>
      </c>
      <c r="V11" s="6" t="s">
        <v>1638</v>
      </c>
      <c r="W11" s="6" t="s">
        <v>1640</v>
      </c>
      <c r="X11" s="7">
        <v>45918</v>
      </c>
      <c r="Y11">
        <v>0</v>
      </c>
      <c r="Z11" s="6" t="s">
        <v>1638</v>
      </c>
      <c r="AA11" s="6" t="str">
        <f>IFERROR(VLOOKUP(B11,BD_Clez_Premigracion!C:C,1,FALSE),"No encontrado")</f>
        <v>No encontrado</v>
      </c>
    </row>
    <row r="12" spans="1:27" x14ac:dyDescent="0.25">
      <c r="A12">
        <v>2157</v>
      </c>
      <c r="B12">
        <v>1102714541</v>
      </c>
      <c r="C12">
        <v>1</v>
      </c>
      <c r="D12" s="6" t="s">
        <v>1667</v>
      </c>
      <c r="E12" s="6" t="s">
        <v>1668</v>
      </c>
      <c r="F12">
        <v>3153186367</v>
      </c>
      <c r="G12" s="6" t="s">
        <v>1497</v>
      </c>
      <c r="H12" s="6" t="s">
        <v>1638</v>
      </c>
      <c r="I12" s="6" t="s">
        <v>1638</v>
      </c>
      <c r="J12" s="6" t="s">
        <v>1639</v>
      </c>
      <c r="K12" s="7">
        <v>33323</v>
      </c>
      <c r="L12" s="6" t="s">
        <v>1638</v>
      </c>
      <c r="M12">
        <v>1</v>
      </c>
      <c r="N12">
        <v>2</v>
      </c>
      <c r="O12" s="6" t="s">
        <v>1638</v>
      </c>
      <c r="P12" s="6" t="s">
        <v>1638</v>
      </c>
      <c r="Q12" s="6" t="s">
        <v>1638</v>
      </c>
      <c r="R12" s="6" t="s">
        <v>1638</v>
      </c>
      <c r="S12" s="6" t="s">
        <v>1638</v>
      </c>
      <c r="T12" s="6" t="s">
        <v>1638</v>
      </c>
      <c r="U12" s="6" t="s">
        <v>1638</v>
      </c>
      <c r="V12" s="6" t="s">
        <v>1638</v>
      </c>
      <c r="W12" s="6" t="s">
        <v>1640</v>
      </c>
      <c r="X12" s="7">
        <v>45918</v>
      </c>
      <c r="Y12">
        <v>0</v>
      </c>
      <c r="Z12" s="6" t="s">
        <v>1638</v>
      </c>
      <c r="AA12" s="6">
        <f>IFERROR(VLOOKUP(B12,BD_Clez_Premigracion!C:C,1,FALSE),"No encontrado")</f>
        <v>1102714541</v>
      </c>
    </row>
    <row r="13" spans="1:27" x14ac:dyDescent="0.25">
      <c r="A13">
        <v>2158</v>
      </c>
      <c r="B13">
        <v>1098822746</v>
      </c>
      <c r="C13">
        <v>1</v>
      </c>
      <c r="D13" s="6" t="s">
        <v>1669</v>
      </c>
      <c r="E13" s="6" t="s">
        <v>1670</v>
      </c>
      <c r="F13">
        <v>3187252767</v>
      </c>
      <c r="G13" s="6" t="s">
        <v>1671</v>
      </c>
      <c r="H13" s="6" t="s">
        <v>1638</v>
      </c>
      <c r="I13" s="6" t="s">
        <v>1638</v>
      </c>
      <c r="J13" s="6" t="s">
        <v>1639</v>
      </c>
      <c r="K13" s="7">
        <v>36375</v>
      </c>
      <c r="L13" s="6" t="s">
        <v>1638</v>
      </c>
      <c r="M13">
        <v>1</v>
      </c>
      <c r="N13">
        <v>2</v>
      </c>
      <c r="O13" s="6" t="s">
        <v>1638</v>
      </c>
      <c r="P13" s="6" t="s">
        <v>1638</v>
      </c>
      <c r="Q13" s="6" t="s">
        <v>1638</v>
      </c>
      <c r="R13" s="6" t="s">
        <v>1638</v>
      </c>
      <c r="S13" s="6" t="s">
        <v>1638</v>
      </c>
      <c r="T13" s="6" t="s">
        <v>1638</v>
      </c>
      <c r="U13" s="6" t="s">
        <v>1638</v>
      </c>
      <c r="V13" s="6" t="s">
        <v>1638</v>
      </c>
      <c r="W13" s="6" t="s">
        <v>1640</v>
      </c>
      <c r="X13" s="7">
        <v>45918</v>
      </c>
      <c r="Y13">
        <v>0</v>
      </c>
      <c r="Z13" s="6" t="s">
        <v>1638</v>
      </c>
      <c r="AA13" s="6" t="str">
        <f>IFERROR(VLOOKUP(B13,BD_Clez_Premigracion!C:C,1,FALSE),"No encontrado")</f>
        <v>No encontrado</v>
      </c>
    </row>
    <row r="14" spans="1:27" x14ac:dyDescent="0.25">
      <c r="A14">
        <v>2159</v>
      </c>
      <c r="B14">
        <v>91284124</v>
      </c>
      <c r="C14">
        <v>1</v>
      </c>
      <c r="D14" s="6" t="s">
        <v>1672</v>
      </c>
      <c r="E14" s="6" t="s">
        <v>1673</v>
      </c>
      <c r="F14">
        <v>3208568360</v>
      </c>
      <c r="G14" s="6" t="s">
        <v>1674</v>
      </c>
      <c r="H14" s="6" t="s">
        <v>1638</v>
      </c>
      <c r="I14" s="6" t="s">
        <v>1638</v>
      </c>
      <c r="J14" s="6" t="s">
        <v>1639</v>
      </c>
      <c r="K14" s="7">
        <v>26167</v>
      </c>
      <c r="L14" s="6" t="s">
        <v>1638</v>
      </c>
      <c r="M14">
        <v>1</v>
      </c>
      <c r="N14">
        <v>2</v>
      </c>
      <c r="O14" s="6" t="s">
        <v>1638</v>
      </c>
      <c r="P14" s="6" t="s">
        <v>1638</v>
      </c>
      <c r="Q14" s="6" t="s">
        <v>1638</v>
      </c>
      <c r="R14" s="6" t="s">
        <v>1638</v>
      </c>
      <c r="S14" s="6" t="s">
        <v>1638</v>
      </c>
      <c r="T14" s="6" t="s">
        <v>1638</v>
      </c>
      <c r="U14" s="6" t="s">
        <v>1638</v>
      </c>
      <c r="V14" s="6" t="s">
        <v>1638</v>
      </c>
      <c r="W14" s="6" t="s">
        <v>1640</v>
      </c>
      <c r="X14" s="7">
        <v>45918</v>
      </c>
      <c r="Y14">
        <v>0</v>
      </c>
      <c r="Z14" s="6" t="s">
        <v>1638</v>
      </c>
      <c r="AA14" s="6" t="str">
        <f>IFERROR(VLOOKUP(B14,BD_Clez_Premigracion!C:C,1,FALSE),"No encontrado")</f>
        <v>No encontrado</v>
      </c>
    </row>
    <row r="15" spans="1:27" x14ac:dyDescent="0.25">
      <c r="A15">
        <v>2161</v>
      </c>
      <c r="B15">
        <v>1092527594</v>
      </c>
      <c r="C15">
        <v>1</v>
      </c>
      <c r="D15" s="6" t="s">
        <v>1675</v>
      </c>
      <c r="E15" s="6" t="s">
        <v>1676</v>
      </c>
      <c r="F15">
        <v>3195095025</v>
      </c>
      <c r="G15" s="6" t="s">
        <v>1677</v>
      </c>
      <c r="H15" s="6" t="s">
        <v>1638</v>
      </c>
      <c r="I15" s="6" t="s">
        <v>1638</v>
      </c>
      <c r="J15" s="6" t="s">
        <v>1663</v>
      </c>
      <c r="K15" s="7">
        <v>38460</v>
      </c>
      <c r="L15" s="6" t="s">
        <v>1638</v>
      </c>
      <c r="M15">
        <v>2</v>
      </c>
      <c r="N15">
        <v>6</v>
      </c>
      <c r="O15" s="6" t="s">
        <v>1638</v>
      </c>
      <c r="P15" s="6" t="s">
        <v>1638</v>
      </c>
      <c r="Q15" s="6" t="s">
        <v>1638</v>
      </c>
      <c r="R15" s="6" t="s">
        <v>1638</v>
      </c>
      <c r="S15" s="6" t="s">
        <v>1638</v>
      </c>
      <c r="T15" s="6" t="s">
        <v>1638</v>
      </c>
      <c r="U15" s="6" t="s">
        <v>1638</v>
      </c>
      <c r="V15" s="6" t="s">
        <v>1638</v>
      </c>
      <c r="W15" s="6" t="s">
        <v>1640</v>
      </c>
      <c r="X15" s="7">
        <v>45918</v>
      </c>
      <c r="Y15">
        <v>0</v>
      </c>
      <c r="Z15" s="6" t="s">
        <v>1638</v>
      </c>
      <c r="AA15" s="6" t="str">
        <f>IFERROR(VLOOKUP(B15,BD_Clez_Premigracion!C:C,1,FALSE),"No encontrado")</f>
        <v>No encontrado</v>
      </c>
    </row>
    <row r="16" spans="1:27" x14ac:dyDescent="0.25">
      <c r="A16">
        <v>2155</v>
      </c>
      <c r="B16">
        <v>1004824411</v>
      </c>
      <c r="C16">
        <v>1</v>
      </c>
      <c r="D16" s="6" t="s">
        <v>1678</v>
      </c>
      <c r="E16" s="6" t="s">
        <v>1679</v>
      </c>
      <c r="F16">
        <v>3232431189</v>
      </c>
      <c r="G16" s="6" t="s">
        <v>1680</v>
      </c>
      <c r="H16" s="6" t="s">
        <v>1638</v>
      </c>
      <c r="I16" s="6" t="s">
        <v>1638</v>
      </c>
      <c r="J16" s="6" t="s">
        <v>1639</v>
      </c>
      <c r="K16" s="7">
        <v>37159</v>
      </c>
      <c r="L16" s="6" t="s">
        <v>1638</v>
      </c>
      <c r="M16">
        <v>1</v>
      </c>
      <c r="N16">
        <v>8</v>
      </c>
      <c r="O16" s="6" t="s">
        <v>1638</v>
      </c>
      <c r="P16" s="6" t="s">
        <v>1638</v>
      </c>
      <c r="Q16" s="6" t="s">
        <v>1638</v>
      </c>
      <c r="R16" s="6" t="s">
        <v>1638</v>
      </c>
      <c r="S16" s="6" t="s">
        <v>1638</v>
      </c>
      <c r="T16" s="6" t="s">
        <v>1638</v>
      </c>
      <c r="U16" s="6" t="s">
        <v>1638</v>
      </c>
      <c r="V16" s="6" t="s">
        <v>1638</v>
      </c>
      <c r="W16" s="6" t="s">
        <v>1640</v>
      </c>
      <c r="X16" s="7">
        <v>45918</v>
      </c>
      <c r="Y16">
        <v>0</v>
      </c>
      <c r="Z16" s="6" t="s">
        <v>1638</v>
      </c>
      <c r="AA16" s="6" t="str">
        <f>IFERROR(VLOOKUP(B16,BD_Clez_Premigracion!C:C,1,FALSE),"No encontrado")</f>
        <v>No encontrado</v>
      </c>
    </row>
    <row r="17" spans="1:27" x14ac:dyDescent="0.25">
      <c r="A17">
        <v>2164</v>
      </c>
      <c r="B17">
        <v>1095789777</v>
      </c>
      <c r="C17">
        <v>1</v>
      </c>
      <c r="D17" s="6" t="s">
        <v>1681</v>
      </c>
      <c r="E17" s="6" t="s">
        <v>1682</v>
      </c>
      <c r="F17">
        <v>3213686887</v>
      </c>
      <c r="G17" s="6" t="s">
        <v>1683</v>
      </c>
      <c r="H17" s="6" t="s">
        <v>1638</v>
      </c>
      <c r="I17" s="6" t="s">
        <v>1638</v>
      </c>
      <c r="J17" s="6" t="s">
        <v>1684</v>
      </c>
      <c r="K17" s="7">
        <v>38272</v>
      </c>
      <c r="L17" s="6" t="s">
        <v>1638</v>
      </c>
      <c r="M17">
        <v>2</v>
      </c>
      <c r="N17">
        <v>3</v>
      </c>
      <c r="O17" s="6" t="s">
        <v>1638</v>
      </c>
      <c r="P17" s="6" t="s">
        <v>1638</v>
      </c>
      <c r="Q17" s="6" t="s">
        <v>1638</v>
      </c>
      <c r="R17" s="6" t="s">
        <v>1638</v>
      </c>
      <c r="S17" s="6" t="s">
        <v>1638</v>
      </c>
      <c r="T17" s="6" t="s">
        <v>1638</v>
      </c>
      <c r="U17" s="6" t="s">
        <v>1638</v>
      </c>
      <c r="V17" s="6" t="s">
        <v>1638</v>
      </c>
      <c r="W17" s="6" t="s">
        <v>1640</v>
      </c>
      <c r="X17" s="7">
        <v>45919</v>
      </c>
      <c r="Y17">
        <v>0</v>
      </c>
      <c r="Z17" s="6" t="s">
        <v>1638</v>
      </c>
      <c r="AA17" s="6" t="str">
        <f>IFERROR(VLOOKUP(B17,BD_Clez_Premigracion!C:C,1,FALSE),"No encontrado")</f>
        <v>No encontrado</v>
      </c>
    </row>
    <row r="18" spans="1:27" x14ac:dyDescent="0.25">
      <c r="A18">
        <v>2165</v>
      </c>
      <c r="B18">
        <v>1096062677</v>
      </c>
      <c r="C18">
        <v>1</v>
      </c>
      <c r="D18" s="6" t="s">
        <v>1685</v>
      </c>
      <c r="E18" s="6" t="s">
        <v>1686</v>
      </c>
      <c r="F18">
        <v>3173111063</v>
      </c>
      <c r="G18" s="6" t="s">
        <v>632</v>
      </c>
      <c r="H18" s="6" t="s">
        <v>1638</v>
      </c>
      <c r="I18" s="6" t="s">
        <v>1638</v>
      </c>
      <c r="J18" s="6" t="s">
        <v>1639</v>
      </c>
      <c r="K18" s="7">
        <v>38061</v>
      </c>
      <c r="L18" s="6" t="s">
        <v>1638</v>
      </c>
      <c r="M18">
        <v>1</v>
      </c>
      <c r="N18">
        <v>2</v>
      </c>
      <c r="O18" s="6" t="s">
        <v>1638</v>
      </c>
      <c r="P18" s="6" t="s">
        <v>1638</v>
      </c>
      <c r="Q18" s="6" t="s">
        <v>1638</v>
      </c>
      <c r="R18" s="6" t="s">
        <v>1638</v>
      </c>
      <c r="S18" s="6" t="s">
        <v>1638</v>
      </c>
      <c r="T18" s="6" t="s">
        <v>1638</v>
      </c>
      <c r="U18" s="6" t="s">
        <v>1638</v>
      </c>
      <c r="V18" s="6" t="s">
        <v>1638</v>
      </c>
      <c r="W18" s="6" t="s">
        <v>1640</v>
      </c>
      <c r="X18" s="7">
        <v>45919</v>
      </c>
      <c r="Y18">
        <v>0</v>
      </c>
      <c r="Z18" s="6" t="s">
        <v>1638</v>
      </c>
      <c r="AA18" s="6">
        <f>IFERROR(VLOOKUP(B18,BD_Clez_Premigracion!C:C,1,FALSE),"No encontrado")</f>
        <v>1096062677</v>
      </c>
    </row>
    <row r="19" spans="1:27" x14ac:dyDescent="0.25">
      <c r="A19">
        <v>2166</v>
      </c>
      <c r="B19">
        <v>1066868459</v>
      </c>
      <c r="C19">
        <v>1</v>
      </c>
      <c r="D19" s="6" t="s">
        <v>1687</v>
      </c>
      <c r="E19" s="6" t="s">
        <v>1688</v>
      </c>
      <c r="F19">
        <v>3123700239</v>
      </c>
      <c r="G19" s="6" t="s">
        <v>1689</v>
      </c>
      <c r="H19" s="6" t="s">
        <v>1638</v>
      </c>
      <c r="I19" s="6" t="s">
        <v>1638</v>
      </c>
      <c r="J19" s="6" t="s">
        <v>1663</v>
      </c>
      <c r="K19" s="7">
        <v>38607</v>
      </c>
      <c r="L19" s="6" t="s">
        <v>1638</v>
      </c>
      <c r="M19">
        <v>1</v>
      </c>
      <c r="N19">
        <v>6</v>
      </c>
      <c r="O19" s="6" t="s">
        <v>1638</v>
      </c>
      <c r="P19" s="6" t="s">
        <v>1638</v>
      </c>
      <c r="Q19" s="6" t="s">
        <v>1638</v>
      </c>
      <c r="R19" s="6" t="s">
        <v>1638</v>
      </c>
      <c r="S19" s="6" t="s">
        <v>1638</v>
      </c>
      <c r="T19" s="6" t="s">
        <v>1638</v>
      </c>
      <c r="U19" s="6" t="s">
        <v>1638</v>
      </c>
      <c r="V19" s="6" t="s">
        <v>1638</v>
      </c>
      <c r="W19" s="6" t="s">
        <v>1640</v>
      </c>
      <c r="X19" s="7">
        <v>45919</v>
      </c>
      <c r="Y19">
        <v>0</v>
      </c>
      <c r="Z19" s="6" t="s">
        <v>1638</v>
      </c>
      <c r="AA19" s="6" t="str">
        <f>IFERROR(VLOOKUP(B19,BD_Clez_Premigracion!C:C,1,FALSE),"No encontrado")</f>
        <v>No encontrado</v>
      </c>
    </row>
    <row r="20" spans="1:27" x14ac:dyDescent="0.25">
      <c r="A20">
        <v>2169</v>
      </c>
      <c r="B20">
        <v>1098608981</v>
      </c>
      <c r="C20">
        <v>1</v>
      </c>
      <c r="D20" s="6" t="s">
        <v>1690</v>
      </c>
      <c r="E20" s="6" t="s">
        <v>1691</v>
      </c>
      <c r="F20">
        <v>3213472473</v>
      </c>
      <c r="G20" s="6" t="s">
        <v>1692</v>
      </c>
      <c r="H20" s="6" t="s">
        <v>1638</v>
      </c>
      <c r="I20" s="6" t="s">
        <v>1638</v>
      </c>
      <c r="J20" s="6" t="s">
        <v>1639</v>
      </c>
      <c r="K20" s="7">
        <v>38034</v>
      </c>
      <c r="L20" s="6" t="s">
        <v>1638</v>
      </c>
      <c r="M20">
        <v>1</v>
      </c>
      <c r="N20">
        <v>2</v>
      </c>
      <c r="O20" s="6" t="s">
        <v>1638</v>
      </c>
      <c r="P20" s="6" t="s">
        <v>1638</v>
      </c>
      <c r="Q20" s="6" t="s">
        <v>1638</v>
      </c>
      <c r="R20" s="6" t="s">
        <v>1638</v>
      </c>
      <c r="S20" s="6" t="s">
        <v>1638</v>
      </c>
      <c r="T20" s="6" t="s">
        <v>1638</v>
      </c>
      <c r="U20" s="6" t="s">
        <v>1638</v>
      </c>
      <c r="V20" s="6" t="s">
        <v>1638</v>
      </c>
      <c r="W20" s="6" t="s">
        <v>1640</v>
      </c>
      <c r="X20" s="7">
        <v>45919</v>
      </c>
      <c r="Y20">
        <v>0</v>
      </c>
      <c r="Z20" s="6" t="s">
        <v>1638</v>
      </c>
      <c r="AA20" s="6" t="str">
        <f>IFERROR(VLOOKUP(B20,BD_Clez_Premigracion!C:C,1,FALSE),"No encontrado")</f>
        <v>No encontrado</v>
      </c>
    </row>
    <row r="21" spans="1:27" x14ac:dyDescent="0.25">
      <c r="A21">
        <v>2172</v>
      </c>
      <c r="B21">
        <v>6438268</v>
      </c>
      <c r="C21">
        <v>6</v>
      </c>
      <c r="D21" s="6" t="s">
        <v>1693</v>
      </c>
      <c r="E21" s="6" t="s">
        <v>1694</v>
      </c>
      <c r="F21">
        <v>3107571349</v>
      </c>
      <c r="G21" s="6" t="s">
        <v>784</v>
      </c>
      <c r="H21" s="6" t="s">
        <v>1638</v>
      </c>
      <c r="I21" s="6" t="s">
        <v>1638</v>
      </c>
      <c r="J21" s="6" t="s">
        <v>1695</v>
      </c>
      <c r="K21" s="7">
        <v>35258</v>
      </c>
      <c r="L21" s="6" t="s">
        <v>1638</v>
      </c>
      <c r="M21">
        <v>2</v>
      </c>
      <c r="N21">
        <v>5</v>
      </c>
      <c r="O21" s="6" t="s">
        <v>1638</v>
      </c>
      <c r="P21" s="6" t="s">
        <v>1638</v>
      </c>
      <c r="Q21" s="6" t="s">
        <v>1638</v>
      </c>
      <c r="R21" s="6" t="s">
        <v>1638</v>
      </c>
      <c r="S21" s="6" t="s">
        <v>1638</v>
      </c>
      <c r="T21" s="6" t="s">
        <v>1638</v>
      </c>
      <c r="U21" s="6" t="s">
        <v>1638</v>
      </c>
      <c r="V21" s="6" t="s">
        <v>1638</v>
      </c>
      <c r="W21" s="6" t="s">
        <v>1640</v>
      </c>
      <c r="X21" s="7">
        <v>45919</v>
      </c>
      <c r="Y21">
        <v>0</v>
      </c>
      <c r="Z21" s="6" t="s">
        <v>1638</v>
      </c>
      <c r="AA21" s="6">
        <f>IFERROR(VLOOKUP(B21,BD_Clez_Premigracion!C:C,1,FALSE),"No encontrado")</f>
        <v>6438268</v>
      </c>
    </row>
    <row r="22" spans="1:27" x14ac:dyDescent="0.25">
      <c r="A22">
        <v>2175</v>
      </c>
      <c r="B22">
        <v>1095821643</v>
      </c>
      <c r="C22">
        <v>1</v>
      </c>
      <c r="D22" s="6" t="s">
        <v>1696</v>
      </c>
      <c r="E22" s="6" t="s">
        <v>1697</v>
      </c>
      <c r="F22">
        <v>3204669676</v>
      </c>
      <c r="G22" s="6" t="s">
        <v>1698</v>
      </c>
      <c r="H22" s="6" t="s">
        <v>1638</v>
      </c>
      <c r="I22" s="6" t="s">
        <v>1638</v>
      </c>
      <c r="J22" s="6" t="s">
        <v>1639</v>
      </c>
      <c r="K22" s="7">
        <v>34659</v>
      </c>
      <c r="L22" s="6" t="s">
        <v>1638</v>
      </c>
      <c r="M22">
        <v>1</v>
      </c>
      <c r="N22">
        <v>2</v>
      </c>
      <c r="O22" s="6" t="s">
        <v>1638</v>
      </c>
      <c r="P22" s="6" t="s">
        <v>1638</v>
      </c>
      <c r="Q22" s="6" t="s">
        <v>1638</v>
      </c>
      <c r="R22" s="6" t="s">
        <v>1638</v>
      </c>
      <c r="S22" s="6" t="s">
        <v>1638</v>
      </c>
      <c r="T22" s="6" t="s">
        <v>1638</v>
      </c>
      <c r="U22" s="6" t="s">
        <v>1638</v>
      </c>
      <c r="V22" s="6" t="s">
        <v>1638</v>
      </c>
      <c r="W22" s="6" t="s">
        <v>1640</v>
      </c>
      <c r="X22" s="7">
        <v>45921</v>
      </c>
      <c r="Y22">
        <v>0</v>
      </c>
      <c r="Z22" s="6" t="s">
        <v>1638</v>
      </c>
      <c r="AA22" s="6" t="str">
        <f>IFERROR(VLOOKUP(B22,BD_Clez_Premigracion!C:C,1,FALSE),"No encontrado")</f>
        <v>No encontrado</v>
      </c>
    </row>
    <row r="23" spans="1:27" x14ac:dyDescent="0.25">
      <c r="A23">
        <v>2145</v>
      </c>
      <c r="B23">
        <v>108797587</v>
      </c>
      <c r="C23">
        <v>4</v>
      </c>
      <c r="D23" s="6" t="s">
        <v>1699</v>
      </c>
      <c r="E23" s="6" t="s">
        <v>1700</v>
      </c>
      <c r="F23">
        <v>3204669676</v>
      </c>
      <c r="G23" s="6" t="s">
        <v>1701</v>
      </c>
      <c r="H23" s="6" t="s">
        <v>1638</v>
      </c>
      <c r="I23" s="6" t="s">
        <v>1638</v>
      </c>
      <c r="J23" s="6" t="s">
        <v>1639</v>
      </c>
      <c r="K23" s="7">
        <v>35553</v>
      </c>
      <c r="L23" s="6" t="s">
        <v>1638</v>
      </c>
      <c r="M23">
        <v>1</v>
      </c>
      <c r="N23">
        <v>8</v>
      </c>
      <c r="O23" s="6" t="s">
        <v>1638</v>
      </c>
      <c r="P23" s="6" t="s">
        <v>1638</v>
      </c>
      <c r="Q23" s="6" t="s">
        <v>1638</v>
      </c>
      <c r="R23" s="6" t="s">
        <v>1638</v>
      </c>
      <c r="S23" s="6" t="s">
        <v>1638</v>
      </c>
      <c r="T23" s="6" t="s">
        <v>1638</v>
      </c>
      <c r="U23" s="6" t="s">
        <v>1638</v>
      </c>
      <c r="V23" s="6" t="s">
        <v>1638</v>
      </c>
      <c r="W23" s="6" t="s">
        <v>1640</v>
      </c>
      <c r="X23" s="7">
        <v>45917</v>
      </c>
      <c r="Y23">
        <v>0</v>
      </c>
      <c r="Z23" s="6" t="s">
        <v>1638</v>
      </c>
      <c r="AA23" s="6" t="str">
        <f>IFERROR(VLOOKUP(B23,BD_Clez_Premigracion!C:C,1,FALSE),"No encontrado")</f>
        <v>No encontrado</v>
      </c>
    </row>
    <row r="24" spans="1:27" x14ac:dyDescent="0.25">
      <c r="A24">
        <v>2176</v>
      </c>
      <c r="B24">
        <v>1005372165</v>
      </c>
      <c r="C24">
        <v>1</v>
      </c>
      <c r="D24" s="6" t="s">
        <v>1702</v>
      </c>
      <c r="E24" s="6" t="s">
        <v>1703</v>
      </c>
      <c r="F24">
        <v>3124778011</v>
      </c>
      <c r="G24" s="6" t="s">
        <v>1704</v>
      </c>
      <c r="H24" s="6" t="s">
        <v>1638</v>
      </c>
      <c r="I24" s="6" t="s">
        <v>1705</v>
      </c>
      <c r="J24" s="6" t="s">
        <v>1684</v>
      </c>
      <c r="K24" s="7">
        <v>37020</v>
      </c>
      <c r="L24" s="6" t="s">
        <v>1638</v>
      </c>
      <c r="M24">
        <v>2</v>
      </c>
      <c r="N24">
        <v>3</v>
      </c>
      <c r="O24" s="6" t="s">
        <v>1638</v>
      </c>
      <c r="P24" s="6" t="s">
        <v>1638</v>
      </c>
      <c r="Q24" s="6" t="s">
        <v>1638</v>
      </c>
      <c r="R24" s="6" t="s">
        <v>1663</v>
      </c>
      <c r="S24" s="6" t="s">
        <v>1706</v>
      </c>
      <c r="T24" s="6" t="s">
        <v>1707</v>
      </c>
      <c r="U24" s="6" t="s">
        <v>1708</v>
      </c>
      <c r="V24" s="6" t="s">
        <v>1638</v>
      </c>
      <c r="W24" s="6" t="s">
        <v>35</v>
      </c>
      <c r="X24" s="7">
        <v>45921</v>
      </c>
      <c r="Y24">
        <v>0</v>
      </c>
      <c r="Z24" s="6" t="s">
        <v>1709</v>
      </c>
      <c r="AA24" s="6" t="str">
        <f>IFERROR(VLOOKUP(B24,BD_Clez_Premigracion!C:C,1,FALSE),"No encontrado")</f>
        <v>No encontrado</v>
      </c>
    </row>
    <row r="25" spans="1:27" x14ac:dyDescent="0.25">
      <c r="A25">
        <v>2177</v>
      </c>
      <c r="B25">
        <v>1102376249</v>
      </c>
      <c r="C25">
        <v>1</v>
      </c>
      <c r="D25" s="6" t="s">
        <v>1710</v>
      </c>
      <c r="E25" s="6" t="s">
        <v>1711</v>
      </c>
      <c r="F25">
        <v>3117076240</v>
      </c>
      <c r="G25" s="6" t="s">
        <v>1712</v>
      </c>
      <c r="H25" s="6" t="s">
        <v>1638</v>
      </c>
      <c r="I25" s="6" t="s">
        <v>1638</v>
      </c>
      <c r="J25" s="6" t="s">
        <v>1695</v>
      </c>
      <c r="K25" s="7">
        <v>34728</v>
      </c>
      <c r="L25" s="6" t="s">
        <v>1638</v>
      </c>
      <c r="M25">
        <v>2</v>
      </c>
      <c r="N25">
        <v>5</v>
      </c>
      <c r="O25" s="6" t="s">
        <v>1638</v>
      </c>
      <c r="P25" s="6" t="s">
        <v>1638</v>
      </c>
      <c r="Q25" s="6" t="s">
        <v>1638</v>
      </c>
      <c r="R25" s="6" t="s">
        <v>1638</v>
      </c>
      <c r="S25" s="6" t="s">
        <v>1638</v>
      </c>
      <c r="T25" s="6" t="s">
        <v>1638</v>
      </c>
      <c r="U25" s="6" t="s">
        <v>1638</v>
      </c>
      <c r="V25" s="6" t="s">
        <v>1638</v>
      </c>
      <c r="W25" s="6" t="s">
        <v>1640</v>
      </c>
      <c r="X25" s="7">
        <v>45921</v>
      </c>
      <c r="Y25">
        <v>0</v>
      </c>
      <c r="Z25" s="6" t="s">
        <v>1638</v>
      </c>
      <c r="AA25" s="6" t="str">
        <f>IFERROR(VLOOKUP(B25,BD_Clez_Premigracion!C:C,1,FALSE),"No encontrado")</f>
        <v>No encontrado</v>
      </c>
    </row>
    <row r="26" spans="1:27" x14ac:dyDescent="0.25">
      <c r="A26">
        <v>2141</v>
      </c>
      <c r="B26">
        <v>1095831653</v>
      </c>
      <c r="C26">
        <v>1</v>
      </c>
      <c r="D26" s="6" t="s">
        <v>1713</v>
      </c>
      <c r="E26" s="6" t="s">
        <v>1714</v>
      </c>
      <c r="F26">
        <v>3144438697</v>
      </c>
      <c r="G26" s="6" t="s">
        <v>1715</v>
      </c>
      <c r="H26" s="6" t="s">
        <v>1638</v>
      </c>
      <c r="I26" s="6" t="s">
        <v>1638</v>
      </c>
      <c r="J26" s="6" t="s">
        <v>1639</v>
      </c>
      <c r="K26" s="7">
        <v>35388</v>
      </c>
      <c r="L26" s="6" t="s">
        <v>1638</v>
      </c>
      <c r="M26">
        <v>2</v>
      </c>
      <c r="N26">
        <v>2</v>
      </c>
      <c r="O26" s="6" t="s">
        <v>1638</v>
      </c>
      <c r="P26" s="6" t="s">
        <v>1638</v>
      </c>
      <c r="Q26" s="6" t="s">
        <v>1638</v>
      </c>
      <c r="R26" s="6" t="s">
        <v>1638</v>
      </c>
      <c r="S26" s="6" t="s">
        <v>1638</v>
      </c>
      <c r="T26" s="6" t="s">
        <v>1638</v>
      </c>
      <c r="U26" s="6" t="s">
        <v>1638</v>
      </c>
      <c r="V26" s="6" t="s">
        <v>1638</v>
      </c>
      <c r="W26" s="6" t="s">
        <v>1640</v>
      </c>
      <c r="X26" s="7">
        <v>45916</v>
      </c>
      <c r="Y26">
        <v>0</v>
      </c>
      <c r="Z26" s="6" t="s">
        <v>1638</v>
      </c>
      <c r="AA26" s="6">
        <f>IFERROR(VLOOKUP(B26,BD_Clez_Premigracion!C:C,1,FALSE),"No encontrado")</f>
        <v>1095831653</v>
      </c>
    </row>
    <row r="27" spans="1:27" x14ac:dyDescent="0.25">
      <c r="A27">
        <v>2178</v>
      </c>
      <c r="B27">
        <v>1092386369</v>
      </c>
      <c r="C27">
        <v>1</v>
      </c>
      <c r="D27" s="6" t="s">
        <v>1716</v>
      </c>
      <c r="E27" s="6" t="s">
        <v>1717</v>
      </c>
      <c r="F27">
        <v>3142927674</v>
      </c>
      <c r="G27" s="6" t="s">
        <v>1718</v>
      </c>
      <c r="H27" s="6" t="s">
        <v>1638</v>
      </c>
      <c r="I27" s="6" t="s">
        <v>1719</v>
      </c>
      <c r="J27" s="6" t="s">
        <v>1638</v>
      </c>
      <c r="K27" s="7">
        <v>35985</v>
      </c>
      <c r="L27" s="6" t="s">
        <v>1638</v>
      </c>
      <c r="M27">
        <v>1</v>
      </c>
      <c r="N27">
        <v>4</v>
      </c>
      <c r="O27" s="6" t="s">
        <v>1638</v>
      </c>
      <c r="P27" s="6" t="s">
        <v>1638</v>
      </c>
      <c r="Q27" s="6" t="s">
        <v>1638</v>
      </c>
      <c r="R27" s="6" t="s">
        <v>1639</v>
      </c>
      <c r="S27" s="6" t="s">
        <v>1720</v>
      </c>
      <c r="T27" s="6" t="s">
        <v>1721</v>
      </c>
      <c r="U27" s="6" t="s">
        <v>1722</v>
      </c>
      <c r="V27" s="6" t="s">
        <v>1638</v>
      </c>
      <c r="W27" s="6" t="s">
        <v>35</v>
      </c>
      <c r="X27" s="7">
        <v>45922</v>
      </c>
      <c r="Y27">
        <v>0</v>
      </c>
      <c r="Z27" s="6" t="s">
        <v>1709</v>
      </c>
      <c r="AA27" s="6" t="str">
        <f>IFERROR(VLOOKUP(B27,BD_Clez_Premigracion!C:C,1,FALSE),"No encontrado")</f>
        <v>No encontrado</v>
      </c>
    </row>
    <row r="28" spans="1:27" x14ac:dyDescent="0.25">
      <c r="A28">
        <v>2179</v>
      </c>
      <c r="B28">
        <v>1148221342</v>
      </c>
      <c r="C28">
        <v>1</v>
      </c>
      <c r="D28" s="6" t="s">
        <v>1723</v>
      </c>
      <c r="E28" s="6" t="s">
        <v>1724</v>
      </c>
      <c r="F28">
        <v>3028050235</v>
      </c>
      <c r="G28" s="6" t="s">
        <v>1725</v>
      </c>
      <c r="H28" s="6" t="s">
        <v>1638</v>
      </c>
      <c r="I28" s="6" t="s">
        <v>1638</v>
      </c>
      <c r="J28" s="6" t="s">
        <v>1638</v>
      </c>
      <c r="K28" s="7">
        <v>36577</v>
      </c>
      <c r="L28" s="6" t="s">
        <v>1638</v>
      </c>
      <c r="M28">
        <v>1</v>
      </c>
      <c r="N28">
        <v>6</v>
      </c>
      <c r="O28" s="6" t="s">
        <v>1638</v>
      </c>
      <c r="P28" s="6" t="s">
        <v>1638</v>
      </c>
      <c r="Q28" s="6" t="s">
        <v>1638</v>
      </c>
      <c r="R28" s="6" t="s">
        <v>1638</v>
      </c>
      <c r="S28" s="6" t="s">
        <v>1638</v>
      </c>
      <c r="T28" s="6" t="s">
        <v>1638</v>
      </c>
      <c r="U28" s="6" t="s">
        <v>1638</v>
      </c>
      <c r="V28" s="6" t="s">
        <v>1638</v>
      </c>
      <c r="W28" s="6" t="s">
        <v>1640</v>
      </c>
      <c r="X28" s="7">
        <v>45922</v>
      </c>
      <c r="Y28">
        <v>0</v>
      </c>
      <c r="Z28" s="6" t="s">
        <v>1638</v>
      </c>
      <c r="AA28" s="6" t="str">
        <f>IFERROR(VLOOKUP(B28,BD_Clez_Premigracion!C:C,1,FALSE),"No encontrado")</f>
        <v>No encontrado</v>
      </c>
    </row>
    <row r="29" spans="1:27" x14ac:dyDescent="0.25">
      <c r="A29">
        <v>2180</v>
      </c>
      <c r="B29">
        <v>1005257154</v>
      </c>
      <c r="C29">
        <v>1</v>
      </c>
      <c r="D29" s="6" t="s">
        <v>1726</v>
      </c>
      <c r="E29" s="6" t="s">
        <v>1727</v>
      </c>
      <c r="F29">
        <v>3150675863</v>
      </c>
      <c r="G29" s="6" t="s">
        <v>847</v>
      </c>
      <c r="H29" s="6" t="s">
        <v>1638</v>
      </c>
      <c r="I29" s="6" t="s">
        <v>1638</v>
      </c>
      <c r="J29" s="6" t="s">
        <v>1638</v>
      </c>
      <c r="K29" s="7">
        <v>37128</v>
      </c>
      <c r="L29" s="6" t="s">
        <v>1638</v>
      </c>
      <c r="M29">
        <v>1</v>
      </c>
      <c r="N29">
        <v>1</v>
      </c>
      <c r="O29" s="6" t="s">
        <v>1638</v>
      </c>
      <c r="P29" s="6" t="s">
        <v>1638</v>
      </c>
      <c r="Q29" s="6" t="s">
        <v>1638</v>
      </c>
      <c r="R29" s="6" t="s">
        <v>1638</v>
      </c>
      <c r="S29" s="6" t="s">
        <v>1638</v>
      </c>
      <c r="T29" s="6" t="s">
        <v>1638</v>
      </c>
      <c r="U29" s="6" t="s">
        <v>1638</v>
      </c>
      <c r="V29" s="6" t="s">
        <v>1638</v>
      </c>
      <c r="W29" s="6" t="s">
        <v>1640</v>
      </c>
      <c r="X29" s="7">
        <v>45922</v>
      </c>
      <c r="Y29">
        <v>0</v>
      </c>
      <c r="Z29" s="6" t="s">
        <v>1638</v>
      </c>
      <c r="AA29" s="6">
        <f>IFERROR(VLOOKUP(B29,BD_Clez_Premigracion!C:C,1,FALSE),"No encontrado")</f>
        <v>1005257154</v>
      </c>
    </row>
    <row r="30" spans="1:27" x14ac:dyDescent="0.25">
      <c r="A30">
        <v>2181</v>
      </c>
      <c r="B30">
        <v>1093854460</v>
      </c>
      <c r="C30">
        <v>1</v>
      </c>
      <c r="D30" s="6" t="s">
        <v>1728</v>
      </c>
      <c r="E30" s="6" t="s">
        <v>1729</v>
      </c>
      <c r="F30">
        <v>3028502200</v>
      </c>
      <c r="G30" s="6" t="s">
        <v>1730</v>
      </c>
      <c r="H30" s="6" t="s">
        <v>1638</v>
      </c>
      <c r="I30" s="6" t="s">
        <v>1638</v>
      </c>
      <c r="J30" s="6" t="s">
        <v>1638</v>
      </c>
      <c r="K30" s="7">
        <v>38225</v>
      </c>
      <c r="L30" s="6" t="s">
        <v>1638</v>
      </c>
      <c r="M30">
        <v>1</v>
      </c>
      <c r="N30">
        <v>6</v>
      </c>
      <c r="O30" s="6" t="s">
        <v>1638</v>
      </c>
      <c r="P30" s="6" t="s">
        <v>1638</v>
      </c>
      <c r="Q30" s="6" t="s">
        <v>1638</v>
      </c>
      <c r="R30" s="6" t="s">
        <v>1638</v>
      </c>
      <c r="S30" s="6" t="s">
        <v>1638</v>
      </c>
      <c r="T30" s="6" t="s">
        <v>1638</v>
      </c>
      <c r="U30" s="6" t="s">
        <v>1638</v>
      </c>
      <c r="V30" s="6" t="s">
        <v>1638</v>
      </c>
      <c r="W30" s="6" t="s">
        <v>1640</v>
      </c>
      <c r="X30" s="7">
        <v>45922</v>
      </c>
      <c r="Y30">
        <v>0</v>
      </c>
      <c r="Z30" s="6" t="s">
        <v>1638</v>
      </c>
      <c r="AA30" s="6" t="str">
        <f>IFERROR(VLOOKUP(B30,BD_Clez_Premigracion!C:C,1,FALSE),"No encontrado")</f>
        <v>No encontrado</v>
      </c>
    </row>
    <row r="31" spans="1:27" x14ac:dyDescent="0.25">
      <c r="A31">
        <v>2182</v>
      </c>
      <c r="B31">
        <v>1126424740</v>
      </c>
      <c r="C31">
        <v>1</v>
      </c>
      <c r="D31" s="6" t="s">
        <v>1731</v>
      </c>
      <c r="E31" s="6" t="s">
        <v>1732</v>
      </c>
      <c r="F31">
        <v>3228742598</v>
      </c>
      <c r="G31" s="6" t="s">
        <v>1733</v>
      </c>
      <c r="H31" s="6" t="s">
        <v>1638</v>
      </c>
      <c r="I31" s="6" t="s">
        <v>1638</v>
      </c>
      <c r="J31" s="6" t="s">
        <v>1638</v>
      </c>
      <c r="K31" s="7">
        <v>26839</v>
      </c>
      <c r="L31" s="6" t="s">
        <v>1638</v>
      </c>
      <c r="M31">
        <v>1</v>
      </c>
      <c r="N31">
        <v>4</v>
      </c>
      <c r="O31" s="6" t="s">
        <v>1638</v>
      </c>
      <c r="P31" s="6" t="s">
        <v>1638</v>
      </c>
      <c r="Q31" s="6" t="s">
        <v>1638</v>
      </c>
      <c r="R31" s="6" t="s">
        <v>1638</v>
      </c>
      <c r="S31" s="6" t="s">
        <v>1638</v>
      </c>
      <c r="T31" s="6" t="s">
        <v>1638</v>
      </c>
      <c r="U31" s="6" t="s">
        <v>1638</v>
      </c>
      <c r="V31" s="6" t="s">
        <v>1638</v>
      </c>
      <c r="W31" s="6" t="s">
        <v>1640</v>
      </c>
      <c r="X31" s="7">
        <v>45922</v>
      </c>
      <c r="Y31">
        <v>0</v>
      </c>
      <c r="Z31" s="6" t="s">
        <v>1638</v>
      </c>
      <c r="AA31" s="6" t="str">
        <f>IFERROR(VLOOKUP(B31,BD_Clez_Premigracion!C:C,1,FALSE),"No encontrado")</f>
        <v>No encontrado</v>
      </c>
    </row>
    <row r="32" spans="1:27" x14ac:dyDescent="0.25">
      <c r="A32">
        <v>2188</v>
      </c>
      <c r="B32">
        <v>1095837324</v>
      </c>
      <c r="C32">
        <v>1</v>
      </c>
      <c r="D32" s="6" t="s">
        <v>1734</v>
      </c>
      <c r="E32" s="6" t="s">
        <v>1735</v>
      </c>
      <c r="F32">
        <v>3153795088</v>
      </c>
      <c r="G32" s="6" t="s">
        <v>1736</v>
      </c>
      <c r="H32" s="6" t="s">
        <v>1638</v>
      </c>
      <c r="I32" s="6" t="s">
        <v>1638</v>
      </c>
      <c r="J32" s="6" t="s">
        <v>1638</v>
      </c>
      <c r="K32" s="7">
        <v>35867</v>
      </c>
      <c r="L32" s="6" t="s">
        <v>1638</v>
      </c>
      <c r="M32">
        <v>1</v>
      </c>
      <c r="N32">
        <v>5</v>
      </c>
      <c r="O32" s="6" t="s">
        <v>1638</v>
      </c>
      <c r="P32" s="6" t="s">
        <v>1638</v>
      </c>
      <c r="Q32" s="6" t="s">
        <v>1638</v>
      </c>
      <c r="R32" s="6" t="s">
        <v>1638</v>
      </c>
      <c r="S32" s="6" t="s">
        <v>1638</v>
      </c>
      <c r="T32" s="6" t="s">
        <v>1638</v>
      </c>
      <c r="U32" s="6" t="s">
        <v>1638</v>
      </c>
      <c r="V32" s="6" t="s">
        <v>1638</v>
      </c>
      <c r="W32" s="6" t="s">
        <v>1640</v>
      </c>
      <c r="X32" s="7">
        <v>45923</v>
      </c>
      <c r="Y32">
        <v>0</v>
      </c>
      <c r="Z32" s="6" t="s">
        <v>1638</v>
      </c>
      <c r="AA32" s="6" t="str">
        <f>IFERROR(VLOOKUP(B32,BD_Clez_Premigracion!C:C,1,FALSE),"No encontrado")</f>
        <v>No encontrado</v>
      </c>
    </row>
    <row r="33" spans="1:27" x14ac:dyDescent="0.25">
      <c r="A33">
        <v>2185</v>
      </c>
      <c r="B33">
        <v>1098766559</v>
      </c>
      <c r="C33">
        <v>1</v>
      </c>
      <c r="D33" s="6" t="s">
        <v>1737</v>
      </c>
      <c r="E33" s="6" t="s">
        <v>1738</v>
      </c>
      <c r="F33">
        <v>3212371879</v>
      </c>
      <c r="G33" s="6" t="s">
        <v>1739</v>
      </c>
      <c r="H33" s="6" t="s">
        <v>1638</v>
      </c>
      <c r="I33" s="6" t="s">
        <v>1638</v>
      </c>
      <c r="J33" s="6" t="s">
        <v>1638</v>
      </c>
      <c r="K33" s="7">
        <v>34669</v>
      </c>
      <c r="L33" s="6" t="s">
        <v>1638</v>
      </c>
      <c r="M33">
        <v>2</v>
      </c>
      <c r="N33">
        <v>8</v>
      </c>
      <c r="O33" s="6" t="s">
        <v>1638</v>
      </c>
      <c r="P33" s="6" t="s">
        <v>1638</v>
      </c>
      <c r="Q33" s="6" t="s">
        <v>1638</v>
      </c>
      <c r="R33" s="6" t="s">
        <v>1638</v>
      </c>
      <c r="S33" s="6" t="s">
        <v>1638</v>
      </c>
      <c r="T33" s="6" t="s">
        <v>1638</v>
      </c>
      <c r="U33" s="6" t="s">
        <v>1638</v>
      </c>
      <c r="V33" s="6" t="s">
        <v>1638</v>
      </c>
      <c r="W33" s="6" t="s">
        <v>1640</v>
      </c>
      <c r="X33" s="7">
        <v>45922</v>
      </c>
      <c r="Y33">
        <v>0</v>
      </c>
      <c r="Z33" s="6" t="s">
        <v>1638</v>
      </c>
      <c r="AA33" s="6" t="str">
        <f>IFERROR(VLOOKUP(B33,BD_Clez_Premigracion!C:C,1,FALSE),"No encontrado")</f>
        <v>No encontrado</v>
      </c>
    </row>
    <row r="34" spans="1:27" x14ac:dyDescent="0.25">
      <c r="A34">
        <v>2184</v>
      </c>
      <c r="B34">
        <v>1005199841</v>
      </c>
      <c r="C34">
        <v>1</v>
      </c>
      <c r="D34" s="6" t="s">
        <v>1740</v>
      </c>
      <c r="E34" s="6" t="s">
        <v>1741</v>
      </c>
      <c r="F34">
        <v>3181652462</v>
      </c>
      <c r="G34" s="6" t="s">
        <v>1589</v>
      </c>
      <c r="H34" s="6" t="s">
        <v>1638</v>
      </c>
      <c r="I34" s="6" t="s">
        <v>1638</v>
      </c>
      <c r="J34" s="6" t="s">
        <v>1638</v>
      </c>
      <c r="K34" s="7">
        <v>37447</v>
      </c>
      <c r="L34" s="6" t="s">
        <v>1638</v>
      </c>
      <c r="M34">
        <v>2</v>
      </c>
      <c r="N34">
        <v>1</v>
      </c>
      <c r="O34" s="6" t="s">
        <v>1638</v>
      </c>
      <c r="P34" s="6" t="s">
        <v>1638</v>
      </c>
      <c r="Q34" s="6" t="s">
        <v>1638</v>
      </c>
      <c r="R34" s="6" t="s">
        <v>1638</v>
      </c>
      <c r="S34" s="6" t="s">
        <v>1638</v>
      </c>
      <c r="T34" s="6" t="s">
        <v>1638</v>
      </c>
      <c r="U34" s="6" t="s">
        <v>1638</v>
      </c>
      <c r="V34" s="6" t="s">
        <v>1638</v>
      </c>
      <c r="W34" s="6" t="s">
        <v>1640</v>
      </c>
      <c r="X34" s="7">
        <v>45922</v>
      </c>
      <c r="Y34">
        <v>0</v>
      </c>
      <c r="Z34" s="6" t="s">
        <v>1638</v>
      </c>
      <c r="AA34" s="6">
        <f>IFERROR(VLOOKUP(B34,BD_Clez_Premigracion!C:C,1,FALSE),"No encontrado")</f>
        <v>1005199841</v>
      </c>
    </row>
    <row r="35" spans="1:27" x14ac:dyDescent="0.25">
      <c r="A35">
        <v>2189</v>
      </c>
      <c r="B35">
        <v>1098805509</v>
      </c>
      <c r="C35">
        <v>1</v>
      </c>
      <c r="D35" s="6" t="s">
        <v>1742</v>
      </c>
      <c r="E35" s="6" t="s">
        <v>1743</v>
      </c>
      <c r="F35">
        <v>3132298289</v>
      </c>
      <c r="G35" s="6" t="s">
        <v>831</v>
      </c>
      <c r="H35" s="6" t="s">
        <v>1638</v>
      </c>
      <c r="I35" s="6" t="s">
        <v>1638</v>
      </c>
      <c r="J35" s="6" t="s">
        <v>1638</v>
      </c>
      <c r="K35" s="7">
        <v>35704</v>
      </c>
      <c r="L35" s="6" t="s">
        <v>1638</v>
      </c>
      <c r="M35">
        <v>1</v>
      </c>
      <c r="N35">
        <v>6</v>
      </c>
      <c r="O35" s="6" t="s">
        <v>1638</v>
      </c>
      <c r="P35" s="6" t="s">
        <v>1638</v>
      </c>
      <c r="Q35" s="6" t="s">
        <v>1638</v>
      </c>
      <c r="R35" s="6" t="s">
        <v>1638</v>
      </c>
      <c r="S35" s="6" t="s">
        <v>1638</v>
      </c>
      <c r="T35" s="6" t="s">
        <v>1638</v>
      </c>
      <c r="U35" s="6" t="s">
        <v>1638</v>
      </c>
      <c r="V35" s="6" t="s">
        <v>1638</v>
      </c>
      <c r="W35" s="6" t="s">
        <v>1640</v>
      </c>
      <c r="X35" s="7">
        <v>45923</v>
      </c>
      <c r="Y35">
        <v>0</v>
      </c>
      <c r="Z35" s="6" t="s">
        <v>1638</v>
      </c>
      <c r="AA35" s="6" t="str">
        <f>IFERROR(VLOOKUP(B35,BD_Clez_Premigracion!C:C,1,FALSE),"No encontrado")</f>
        <v>No encontrado</v>
      </c>
    </row>
    <row r="36" spans="1:27" x14ac:dyDescent="0.25">
      <c r="A36">
        <v>2191</v>
      </c>
      <c r="B36">
        <v>22798614</v>
      </c>
      <c r="C36">
        <v>1</v>
      </c>
      <c r="D36" s="6" t="s">
        <v>1744</v>
      </c>
      <c r="E36" s="6" t="s">
        <v>1745</v>
      </c>
      <c r="F36">
        <v>3168950806</v>
      </c>
      <c r="G36" s="6" t="s">
        <v>1746</v>
      </c>
      <c r="H36" s="6" t="s">
        <v>1638</v>
      </c>
      <c r="I36" s="6" t="s">
        <v>1638</v>
      </c>
      <c r="J36" s="6" t="s">
        <v>1638</v>
      </c>
      <c r="K36" s="7">
        <v>28974</v>
      </c>
      <c r="L36" s="6" t="s">
        <v>1638</v>
      </c>
      <c r="M36">
        <v>2</v>
      </c>
      <c r="N36">
        <v>10</v>
      </c>
      <c r="O36" s="6" t="s">
        <v>1638</v>
      </c>
      <c r="P36" s="6" t="s">
        <v>1638</v>
      </c>
      <c r="Q36" s="6" t="s">
        <v>1638</v>
      </c>
      <c r="R36" s="6" t="s">
        <v>1638</v>
      </c>
      <c r="S36" s="6" t="s">
        <v>1638</v>
      </c>
      <c r="T36" s="6" t="s">
        <v>1638</v>
      </c>
      <c r="U36" s="6" t="s">
        <v>1638</v>
      </c>
      <c r="V36" s="6" t="s">
        <v>1638</v>
      </c>
      <c r="W36" s="6" t="s">
        <v>1640</v>
      </c>
      <c r="X36" s="7">
        <v>45923</v>
      </c>
      <c r="Y36">
        <v>0</v>
      </c>
      <c r="Z36" s="6" t="s">
        <v>1638</v>
      </c>
      <c r="AA36" s="6" t="str">
        <f>IFERROR(VLOOKUP(B36,BD_Clez_Premigracion!C:C,1,FALSE),"No encontrado")</f>
        <v>No encontrado</v>
      </c>
    </row>
    <row r="37" spans="1:27" x14ac:dyDescent="0.25">
      <c r="A37">
        <v>2192</v>
      </c>
      <c r="B37">
        <v>1006372165</v>
      </c>
      <c r="C37">
        <v>1</v>
      </c>
      <c r="D37" s="6" t="s">
        <v>1747</v>
      </c>
      <c r="E37" s="6" t="s">
        <v>1748</v>
      </c>
      <c r="F37">
        <v>3124778011</v>
      </c>
      <c r="G37" s="6" t="s">
        <v>1704</v>
      </c>
      <c r="H37" s="6" t="s">
        <v>1638</v>
      </c>
      <c r="I37" s="6" t="s">
        <v>1638</v>
      </c>
      <c r="J37" s="6" t="s">
        <v>1638</v>
      </c>
      <c r="K37" s="7">
        <v>37020</v>
      </c>
      <c r="L37" s="6" t="s">
        <v>1638</v>
      </c>
      <c r="M37">
        <v>2</v>
      </c>
      <c r="N37">
        <v>3</v>
      </c>
      <c r="O37" s="6" t="s">
        <v>1638</v>
      </c>
      <c r="P37" s="6" t="s">
        <v>1638</v>
      </c>
      <c r="Q37" s="6" t="s">
        <v>1638</v>
      </c>
      <c r="R37" s="6" t="s">
        <v>1638</v>
      </c>
      <c r="S37" s="6" t="s">
        <v>1638</v>
      </c>
      <c r="T37" s="6" t="s">
        <v>1638</v>
      </c>
      <c r="U37" s="6" t="s">
        <v>1638</v>
      </c>
      <c r="V37" s="6" t="s">
        <v>1638</v>
      </c>
      <c r="W37" s="6" t="s">
        <v>1640</v>
      </c>
      <c r="X37" s="7">
        <v>45924</v>
      </c>
      <c r="Y37">
        <v>0</v>
      </c>
      <c r="Z37" s="6" t="s">
        <v>1638</v>
      </c>
      <c r="AA37" s="6" t="str">
        <f>IFERROR(VLOOKUP(B37,BD_Clez_Premigracion!C:C,1,FALSE),"No encontrado")</f>
        <v>No encontrado</v>
      </c>
    </row>
    <row r="38" spans="1:27" x14ac:dyDescent="0.25">
      <c r="A38">
        <v>2193</v>
      </c>
      <c r="B38">
        <v>1095949447</v>
      </c>
      <c r="C38">
        <v>1</v>
      </c>
      <c r="D38" s="6" t="s">
        <v>1749</v>
      </c>
      <c r="E38" s="6" t="s">
        <v>1750</v>
      </c>
      <c r="F38">
        <v>3177227375</v>
      </c>
      <c r="G38" s="6" t="s">
        <v>1751</v>
      </c>
      <c r="H38" s="6" t="s">
        <v>1638</v>
      </c>
      <c r="I38" s="6" t="s">
        <v>1638</v>
      </c>
      <c r="J38" s="6" t="s">
        <v>1638</v>
      </c>
      <c r="K38" s="7">
        <v>35658</v>
      </c>
      <c r="L38" s="6" t="s">
        <v>1638</v>
      </c>
      <c r="M38">
        <v>1</v>
      </c>
      <c r="N38">
        <v>8</v>
      </c>
      <c r="O38" s="6" t="s">
        <v>1638</v>
      </c>
      <c r="P38" s="6" t="s">
        <v>1638</v>
      </c>
      <c r="Q38" s="6" t="s">
        <v>1638</v>
      </c>
      <c r="R38" s="6" t="s">
        <v>1638</v>
      </c>
      <c r="S38" s="6" t="s">
        <v>1638</v>
      </c>
      <c r="T38" s="6" t="s">
        <v>1638</v>
      </c>
      <c r="U38" s="6" t="s">
        <v>1638</v>
      </c>
      <c r="V38" s="6" t="s">
        <v>1638</v>
      </c>
      <c r="W38" s="6" t="s">
        <v>1640</v>
      </c>
      <c r="X38" s="7">
        <v>45924</v>
      </c>
      <c r="Y38">
        <v>0</v>
      </c>
      <c r="Z38" s="6" t="s">
        <v>1638</v>
      </c>
      <c r="AA38" s="6">
        <f>IFERROR(VLOOKUP(B38,BD_Clez_Premigracion!C:C,1,FALSE),"No encontrado")</f>
        <v>1095949447</v>
      </c>
    </row>
    <row r="39" spans="1:27" x14ac:dyDescent="0.25">
      <c r="A39">
        <v>2196</v>
      </c>
      <c r="B39">
        <v>1091354733</v>
      </c>
      <c r="C39">
        <v>1</v>
      </c>
      <c r="D39" s="6" t="s">
        <v>1752</v>
      </c>
      <c r="E39" s="6" t="s">
        <v>1753</v>
      </c>
      <c r="F39">
        <v>3188213670</v>
      </c>
      <c r="G39" s="6" t="s">
        <v>657</v>
      </c>
      <c r="H39" s="6" t="s">
        <v>1638</v>
      </c>
      <c r="I39" s="6" t="s">
        <v>1638</v>
      </c>
      <c r="J39" s="6" t="s">
        <v>1638</v>
      </c>
      <c r="K39" s="7">
        <v>38429</v>
      </c>
      <c r="L39" s="6" t="s">
        <v>1638</v>
      </c>
      <c r="M39">
        <v>2</v>
      </c>
      <c r="N39">
        <v>6</v>
      </c>
      <c r="O39" s="6" t="s">
        <v>1638</v>
      </c>
      <c r="P39" s="6" t="s">
        <v>1638</v>
      </c>
      <c r="Q39" s="6" t="s">
        <v>1638</v>
      </c>
      <c r="R39" s="6" t="s">
        <v>1638</v>
      </c>
      <c r="S39" s="6" t="s">
        <v>1638</v>
      </c>
      <c r="T39" s="6" t="s">
        <v>1638</v>
      </c>
      <c r="U39" s="6" t="s">
        <v>1638</v>
      </c>
      <c r="V39" s="6" t="s">
        <v>1638</v>
      </c>
      <c r="W39" s="6" t="s">
        <v>1640</v>
      </c>
      <c r="X39" s="7">
        <v>45924</v>
      </c>
      <c r="Y39">
        <v>0</v>
      </c>
      <c r="Z39" s="6" t="s">
        <v>1638</v>
      </c>
      <c r="AA39" s="6">
        <f>IFERROR(VLOOKUP(B39,BD_Clez_Premigracion!C:C,1,FALSE),"No encontrado")</f>
        <v>1091354733</v>
      </c>
    </row>
    <row r="40" spans="1:27" x14ac:dyDescent="0.25">
      <c r="A40">
        <v>2197</v>
      </c>
      <c r="B40">
        <v>1095944090</v>
      </c>
      <c r="C40">
        <v>1</v>
      </c>
      <c r="D40" s="6" t="s">
        <v>1754</v>
      </c>
      <c r="E40" s="6" t="s">
        <v>1755</v>
      </c>
      <c r="F40">
        <v>3132497055</v>
      </c>
      <c r="G40" s="6" t="s">
        <v>1756</v>
      </c>
      <c r="H40" s="6" t="s">
        <v>1638</v>
      </c>
      <c r="I40" s="6" t="s">
        <v>1638</v>
      </c>
      <c r="J40" s="6" t="s">
        <v>1638</v>
      </c>
      <c r="K40" s="7">
        <v>35216</v>
      </c>
      <c r="L40" s="6" t="s">
        <v>1638</v>
      </c>
      <c r="M40">
        <v>2</v>
      </c>
      <c r="N40">
        <v>8</v>
      </c>
      <c r="O40" s="6" t="s">
        <v>1638</v>
      </c>
      <c r="P40" s="6" t="s">
        <v>1638</v>
      </c>
      <c r="Q40" s="6" t="s">
        <v>1638</v>
      </c>
      <c r="R40" s="6" t="s">
        <v>1638</v>
      </c>
      <c r="S40" s="6" t="s">
        <v>1638</v>
      </c>
      <c r="T40" s="6" t="s">
        <v>1638</v>
      </c>
      <c r="U40" s="6" t="s">
        <v>1638</v>
      </c>
      <c r="V40" s="6" t="s">
        <v>1638</v>
      </c>
      <c r="W40" s="6" t="s">
        <v>1640</v>
      </c>
      <c r="X40" s="7">
        <v>45924</v>
      </c>
      <c r="Y40">
        <v>0</v>
      </c>
      <c r="Z40" s="6" t="s">
        <v>1638</v>
      </c>
      <c r="AA40" s="6" t="str">
        <f>IFERROR(VLOOKUP(B40,BD_Clez_Premigracion!C:C,1,FALSE),"No encontrado")</f>
        <v>No encontrado</v>
      </c>
    </row>
    <row r="41" spans="1:27" x14ac:dyDescent="0.25">
      <c r="A41">
        <v>2198</v>
      </c>
      <c r="B41">
        <v>1098737308</v>
      </c>
      <c r="C41">
        <v>1</v>
      </c>
      <c r="D41" s="6" t="s">
        <v>1757</v>
      </c>
      <c r="E41" s="6" t="s">
        <v>1758</v>
      </c>
      <c r="F41">
        <v>3152035115</v>
      </c>
      <c r="G41" s="6" t="s">
        <v>1552</v>
      </c>
      <c r="H41" s="6" t="s">
        <v>1638</v>
      </c>
      <c r="I41" s="6" t="s">
        <v>1638</v>
      </c>
      <c r="J41" s="6" t="s">
        <v>1638</v>
      </c>
      <c r="K41" s="7">
        <v>34089</v>
      </c>
      <c r="L41" s="6" t="s">
        <v>1638</v>
      </c>
      <c r="M41">
        <v>2</v>
      </c>
      <c r="N41">
        <v>1</v>
      </c>
      <c r="O41" s="6" t="s">
        <v>1638</v>
      </c>
      <c r="P41" s="6" t="s">
        <v>1638</v>
      </c>
      <c r="Q41" s="6" t="s">
        <v>1638</v>
      </c>
      <c r="R41" s="6" t="s">
        <v>1638</v>
      </c>
      <c r="S41" s="6" t="s">
        <v>1638</v>
      </c>
      <c r="T41" s="6" t="s">
        <v>1638</v>
      </c>
      <c r="U41" s="6" t="s">
        <v>1638</v>
      </c>
      <c r="V41" s="6" t="s">
        <v>1638</v>
      </c>
      <c r="W41" s="6" t="s">
        <v>1640</v>
      </c>
      <c r="X41" s="7">
        <v>45924</v>
      </c>
      <c r="Y41">
        <v>0</v>
      </c>
      <c r="Z41" s="6" t="s">
        <v>1638</v>
      </c>
      <c r="AA41" s="6">
        <f>IFERROR(VLOOKUP(B41,BD_Clez_Premigracion!C:C,1,FALSE),"No encontrado")</f>
        <v>1098737308</v>
      </c>
    </row>
    <row r="42" spans="1:27" x14ac:dyDescent="0.25">
      <c r="A42">
        <v>2200</v>
      </c>
      <c r="B42">
        <v>1098677535</v>
      </c>
      <c r="C42">
        <v>1</v>
      </c>
      <c r="D42" s="6" t="s">
        <v>1759</v>
      </c>
      <c r="E42" s="6" t="s">
        <v>1760</v>
      </c>
      <c r="F42">
        <v>3118416738</v>
      </c>
      <c r="G42" s="6" t="s">
        <v>654</v>
      </c>
      <c r="H42" s="6" t="s">
        <v>1638</v>
      </c>
      <c r="I42" s="6" t="s">
        <v>1638</v>
      </c>
      <c r="J42" s="6" t="s">
        <v>1638</v>
      </c>
      <c r="K42" s="7">
        <v>32805</v>
      </c>
      <c r="L42" s="6" t="s">
        <v>1638</v>
      </c>
      <c r="M42">
        <v>2</v>
      </c>
      <c r="N42">
        <v>10</v>
      </c>
      <c r="O42" s="6" t="s">
        <v>1638</v>
      </c>
      <c r="P42" s="6" t="s">
        <v>1638</v>
      </c>
      <c r="Q42" s="6" t="s">
        <v>1638</v>
      </c>
      <c r="R42" s="6" t="s">
        <v>1638</v>
      </c>
      <c r="S42" s="6" t="s">
        <v>1638</v>
      </c>
      <c r="T42" s="6" t="s">
        <v>1638</v>
      </c>
      <c r="U42" s="6" t="s">
        <v>1638</v>
      </c>
      <c r="V42" s="6" t="s">
        <v>1638</v>
      </c>
      <c r="W42" s="6" t="s">
        <v>1640</v>
      </c>
      <c r="X42" s="7">
        <v>45924</v>
      </c>
      <c r="Y42">
        <v>0</v>
      </c>
      <c r="Z42" s="6" t="s">
        <v>1638</v>
      </c>
      <c r="AA42" s="6">
        <f>IFERROR(VLOOKUP(B42,BD_Clez_Premigracion!C:C,1,FALSE),"No encontrado")</f>
        <v>1098677535</v>
      </c>
    </row>
    <row r="43" spans="1:27" x14ac:dyDescent="0.25">
      <c r="A43">
        <v>2203</v>
      </c>
      <c r="B43">
        <v>60443419</v>
      </c>
      <c r="C43">
        <v>1</v>
      </c>
      <c r="D43" s="6" t="s">
        <v>1761</v>
      </c>
      <c r="E43" s="6" t="s">
        <v>1762</v>
      </c>
      <c r="F43">
        <v>3242964330</v>
      </c>
      <c r="G43" s="6" t="s">
        <v>1763</v>
      </c>
      <c r="H43" s="6" t="s">
        <v>1638</v>
      </c>
      <c r="I43" s="6" t="s">
        <v>1638</v>
      </c>
      <c r="J43" s="6" t="s">
        <v>1638</v>
      </c>
      <c r="K43" s="7">
        <v>29636</v>
      </c>
      <c r="L43" s="6" t="s">
        <v>1638</v>
      </c>
      <c r="M43">
        <v>2</v>
      </c>
      <c r="N43">
        <v>6</v>
      </c>
      <c r="O43" s="6" t="s">
        <v>1638</v>
      </c>
      <c r="P43" s="6" t="s">
        <v>1638</v>
      </c>
      <c r="Q43" s="6" t="s">
        <v>1638</v>
      </c>
      <c r="R43" s="6" t="s">
        <v>1638</v>
      </c>
      <c r="S43" s="6" t="s">
        <v>1638</v>
      </c>
      <c r="T43" s="6" t="s">
        <v>1638</v>
      </c>
      <c r="U43" s="6" t="s">
        <v>1638</v>
      </c>
      <c r="V43" s="6" t="s">
        <v>1638</v>
      </c>
      <c r="W43" s="6" t="s">
        <v>1640</v>
      </c>
      <c r="X43" s="7">
        <v>45925</v>
      </c>
      <c r="Y43">
        <v>0</v>
      </c>
      <c r="Z43" s="6" t="s">
        <v>1638</v>
      </c>
      <c r="AA43" s="6" t="str">
        <f>IFERROR(VLOOKUP(B43,BD_Clez_Premigracion!C:C,1,FALSE),"No encontrado")</f>
        <v>No encontrado</v>
      </c>
    </row>
    <row r="44" spans="1:27" x14ac:dyDescent="0.25">
      <c r="A44">
        <v>2199</v>
      </c>
      <c r="B44">
        <v>1065613501</v>
      </c>
      <c r="C44">
        <v>1</v>
      </c>
      <c r="D44" s="6" t="s">
        <v>1764</v>
      </c>
      <c r="E44" s="6" t="s">
        <v>1765</v>
      </c>
      <c r="F44">
        <v>3168718218</v>
      </c>
      <c r="G44" s="6" t="s">
        <v>1766</v>
      </c>
      <c r="H44" s="6" t="s">
        <v>1638</v>
      </c>
      <c r="I44" s="6" t="s">
        <v>1638</v>
      </c>
      <c r="J44" s="6" t="s">
        <v>1638</v>
      </c>
      <c r="K44" s="7">
        <v>32892</v>
      </c>
      <c r="L44" s="6" t="s">
        <v>1638</v>
      </c>
      <c r="M44">
        <v>2</v>
      </c>
      <c r="N44">
        <v>9</v>
      </c>
      <c r="O44" s="6" t="s">
        <v>1638</v>
      </c>
      <c r="P44" s="6" t="s">
        <v>1638</v>
      </c>
      <c r="Q44" s="6" t="s">
        <v>1638</v>
      </c>
      <c r="R44" s="6" t="s">
        <v>1638</v>
      </c>
      <c r="S44" s="6" t="s">
        <v>1638</v>
      </c>
      <c r="T44" s="6" t="s">
        <v>1638</v>
      </c>
      <c r="U44" s="6" t="s">
        <v>1638</v>
      </c>
      <c r="V44" s="6" t="s">
        <v>1638</v>
      </c>
      <c r="W44" s="6" t="s">
        <v>1640</v>
      </c>
      <c r="X44" s="7">
        <v>45924</v>
      </c>
      <c r="Y44">
        <v>0</v>
      </c>
      <c r="Z44" s="6" t="s">
        <v>1638</v>
      </c>
      <c r="AA44" s="6">
        <f>IFERROR(VLOOKUP(B44,BD_Clez_Premigracion!C:C,1,FALSE),"No encontrado")</f>
        <v>1065613501</v>
      </c>
    </row>
    <row r="45" spans="1:27" x14ac:dyDescent="0.25">
      <c r="A45">
        <v>2204</v>
      </c>
      <c r="B45">
        <v>1098661754</v>
      </c>
      <c r="C45">
        <v>1</v>
      </c>
      <c r="D45" s="6" t="s">
        <v>1767</v>
      </c>
      <c r="E45" s="6" t="s">
        <v>1768</v>
      </c>
      <c r="F45">
        <v>3168861799</v>
      </c>
      <c r="G45" s="6" t="s">
        <v>1769</v>
      </c>
      <c r="H45" s="6" t="s">
        <v>1638</v>
      </c>
      <c r="I45" s="6" t="s">
        <v>1638</v>
      </c>
      <c r="J45" s="6" t="s">
        <v>1638</v>
      </c>
      <c r="K45" s="7">
        <v>32369</v>
      </c>
      <c r="L45" s="6" t="s">
        <v>1638</v>
      </c>
      <c r="M45">
        <v>2</v>
      </c>
      <c r="N45">
        <v>9</v>
      </c>
      <c r="O45" s="6" t="s">
        <v>1638</v>
      </c>
      <c r="P45" s="6" t="s">
        <v>1638</v>
      </c>
      <c r="Q45" s="6" t="s">
        <v>1638</v>
      </c>
      <c r="R45" s="6" t="s">
        <v>1638</v>
      </c>
      <c r="S45" s="6" t="s">
        <v>1638</v>
      </c>
      <c r="T45" s="6" t="s">
        <v>1638</v>
      </c>
      <c r="U45" s="6" t="s">
        <v>1638</v>
      </c>
      <c r="V45" s="6" t="s">
        <v>1638</v>
      </c>
      <c r="W45" s="6" t="s">
        <v>1640</v>
      </c>
      <c r="X45" s="7">
        <v>45925</v>
      </c>
      <c r="Y45">
        <v>0</v>
      </c>
      <c r="Z45" s="6" t="s">
        <v>1638</v>
      </c>
      <c r="AA45" s="6">
        <f>IFERROR(VLOOKUP(B45,BD_Clez_Premigracion!C:C,1,FALSE),"No encontrado")</f>
        <v>1098661754</v>
      </c>
    </row>
    <row r="46" spans="1:27" x14ac:dyDescent="0.25">
      <c r="A46">
        <v>2205</v>
      </c>
      <c r="B46">
        <v>1098711238</v>
      </c>
      <c r="C46">
        <v>1</v>
      </c>
      <c r="D46" s="6" t="s">
        <v>1770</v>
      </c>
      <c r="E46" s="6" t="s">
        <v>1771</v>
      </c>
      <c r="F46">
        <v>3160538164</v>
      </c>
      <c r="G46" s="6" t="s">
        <v>1772</v>
      </c>
      <c r="H46" s="6" t="s">
        <v>1638</v>
      </c>
      <c r="I46" s="6" t="s">
        <v>1638</v>
      </c>
      <c r="J46" s="6" t="s">
        <v>1638</v>
      </c>
      <c r="K46" s="7">
        <v>33517</v>
      </c>
      <c r="L46" s="6" t="s">
        <v>1638</v>
      </c>
      <c r="M46">
        <v>1</v>
      </c>
      <c r="N46">
        <v>7</v>
      </c>
      <c r="O46" s="6" t="s">
        <v>1638</v>
      </c>
      <c r="P46" s="6" t="s">
        <v>1638</v>
      </c>
      <c r="Q46" s="6" t="s">
        <v>1638</v>
      </c>
      <c r="R46" s="6" t="s">
        <v>1638</v>
      </c>
      <c r="S46" s="6" t="s">
        <v>1638</v>
      </c>
      <c r="T46" s="6" t="s">
        <v>1638</v>
      </c>
      <c r="U46" s="6" t="s">
        <v>1638</v>
      </c>
      <c r="V46" s="6" t="s">
        <v>1638</v>
      </c>
      <c r="W46" s="6" t="s">
        <v>1640</v>
      </c>
      <c r="X46" s="7">
        <v>45925</v>
      </c>
      <c r="Y46">
        <v>0</v>
      </c>
      <c r="Z46" s="6" t="s">
        <v>1638</v>
      </c>
      <c r="AA46" s="6">
        <f>IFERROR(VLOOKUP(B46,BD_Clez_Premigracion!C:C,1,FALSE),"No encontrado")</f>
        <v>1098711238</v>
      </c>
    </row>
    <row r="47" spans="1:27" x14ac:dyDescent="0.25">
      <c r="A47">
        <v>2206</v>
      </c>
      <c r="B47">
        <v>1126909094</v>
      </c>
      <c r="C47">
        <v>1</v>
      </c>
      <c r="D47" s="6" t="s">
        <v>1773</v>
      </c>
      <c r="E47" s="6" t="s">
        <v>1774</v>
      </c>
      <c r="F47">
        <v>3107728506</v>
      </c>
      <c r="G47" s="6" t="s">
        <v>1503</v>
      </c>
      <c r="H47" s="6" t="s">
        <v>1638</v>
      </c>
      <c r="I47" s="6" t="s">
        <v>1638</v>
      </c>
      <c r="J47" s="6" t="s">
        <v>1638</v>
      </c>
      <c r="K47" s="7">
        <v>35719</v>
      </c>
      <c r="L47" s="6" t="s">
        <v>1638</v>
      </c>
      <c r="M47">
        <v>2</v>
      </c>
      <c r="N47">
        <v>4</v>
      </c>
      <c r="O47" s="6" t="s">
        <v>1638</v>
      </c>
      <c r="P47" s="6" t="s">
        <v>1638</v>
      </c>
      <c r="Q47" s="6" t="s">
        <v>1638</v>
      </c>
      <c r="R47" s="6" t="s">
        <v>1638</v>
      </c>
      <c r="S47" s="6" t="s">
        <v>1638</v>
      </c>
      <c r="T47" s="6" t="s">
        <v>1638</v>
      </c>
      <c r="U47" s="6" t="s">
        <v>1638</v>
      </c>
      <c r="V47" s="6" t="s">
        <v>1638</v>
      </c>
      <c r="W47" s="6" t="s">
        <v>1640</v>
      </c>
      <c r="X47" s="7">
        <v>45925</v>
      </c>
      <c r="Y47">
        <v>0</v>
      </c>
      <c r="Z47" s="6" t="s">
        <v>1638</v>
      </c>
      <c r="AA47" s="6">
        <f>IFERROR(VLOOKUP(B47,BD_Clez_Premigracion!C:C,1,FALSE),"No encontrado")</f>
        <v>1126909094</v>
      </c>
    </row>
    <row r="48" spans="1:27" x14ac:dyDescent="0.25">
      <c r="A48">
        <v>2208</v>
      </c>
      <c r="B48">
        <v>1098742789</v>
      </c>
      <c r="C48">
        <v>1</v>
      </c>
      <c r="D48" s="6" t="s">
        <v>1775</v>
      </c>
      <c r="E48" s="6" t="s">
        <v>1776</v>
      </c>
      <c r="F48">
        <v>3144830332</v>
      </c>
      <c r="G48" s="6" t="s">
        <v>1514</v>
      </c>
      <c r="H48" s="6" t="s">
        <v>1638</v>
      </c>
      <c r="I48" s="6" t="s">
        <v>1638</v>
      </c>
      <c r="J48" s="6" t="s">
        <v>1638</v>
      </c>
      <c r="K48" s="7">
        <v>34208</v>
      </c>
      <c r="L48" s="6" t="s">
        <v>1638</v>
      </c>
      <c r="M48">
        <v>1</v>
      </c>
      <c r="N48">
        <v>9</v>
      </c>
      <c r="O48" s="6" t="s">
        <v>1638</v>
      </c>
      <c r="P48" s="6" t="s">
        <v>1638</v>
      </c>
      <c r="Q48" s="6" t="s">
        <v>1638</v>
      </c>
      <c r="R48" s="6" t="s">
        <v>1638</v>
      </c>
      <c r="S48" s="6" t="s">
        <v>1638</v>
      </c>
      <c r="T48" s="6" t="s">
        <v>1638</v>
      </c>
      <c r="U48" s="6" t="s">
        <v>1638</v>
      </c>
      <c r="V48" s="6" t="s">
        <v>1638</v>
      </c>
      <c r="W48" s="6" t="s">
        <v>1640</v>
      </c>
      <c r="X48" s="7">
        <v>45925</v>
      </c>
      <c r="Y48">
        <v>0</v>
      </c>
      <c r="Z48" s="6" t="s">
        <v>1638</v>
      </c>
      <c r="AA48" s="6">
        <f>IFERROR(VLOOKUP(B48,BD_Clez_Premigracion!C:C,1,FALSE),"No encontrado")</f>
        <v>1098742789</v>
      </c>
    </row>
    <row r="49" spans="1:27" x14ac:dyDescent="0.25">
      <c r="A49">
        <v>2211</v>
      </c>
      <c r="B49">
        <v>1090476361</v>
      </c>
      <c r="C49">
        <v>1</v>
      </c>
      <c r="D49" s="6" t="s">
        <v>1777</v>
      </c>
      <c r="E49" s="6" t="s">
        <v>1778</v>
      </c>
      <c r="F49">
        <v>3103407279</v>
      </c>
      <c r="G49" s="6" t="s">
        <v>1779</v>
      </c>
      <c r="H49" s="6" t="s">
        <v>1638</v>
      </c>
      <c r="I49" s="6" t="s">
        <v>1638</v>
      </c>
      <c r="J49" s="6" t="s">
        <v>1638</v>
      </c>
      <c r="K49" s="7">
        <v>34465</v>
      </c>
      <c r="L49" s="6" t="s">
        <v>1638</v>
      </c>
      <c r="M49">
        <v>1</v>
      </c>
      <c r="N49">
        <v>4</v>
      </c>
      <c r="O49" s="6" t="s">
        <v>1638</v>
      </c>
      <c r="P49" s="6" t="s">
        <v>1638</v>
      </c>
      <c r="Q49" s="6" t="s">
        <v>1638</v>
      </c>
      <c r="R49" s="6" t="s">
        <v>1638</v>
      </c>
      <c r="S49" s="6" t="s">
        <v>1638</v>
      </c>
      <c r="T49" s="6" t="s">
        <v>1638</v>
      </c>
      <c r="U49" s="6" t="s">
        <v>1638</v>
      </c>
      <c r="V49" s="6" t="s">
        <v>1638</v>
      </c>
      <c r="W49" s="6" t="s">
        <v>1640</v>
      </c>
      <c r="X49" s="7">
        <v>45925</v>
      </c>
      <c r="Y49">
        <v>0</v>
      </c>
      <c r="Z49" s="6" t="s">
        <v>1638</v>
      </c>
      <c r="AA49" s="6">
        <f>IFERROR(VLOOKUP(B49,BD_Clez_Premigracion!C:C,1,FALSE),"No encontrado")</f>
        <v>1090476361</v>
      </c>
    </row>
    <row r="50" spans="1:27" x14ac:dyDescent="0.25">
      <c r="A50">
        <v>2212</v>
      </c>
      <c r="B50">
        <v>1142715458</v>
      </c>
      <c r="C50">
        <v>3</v>
      </c>
      <c r="D50" s="6" t="s">
        <v>1780</v>
      </c>
      <c r="E50" s="6" t="s">
        <v>1781</v>
      </c>
      <c r="F50">
        <v>3107975831</v>
      </c>
      <c r="G50" s="6" t="s">
        <v>1782</v>
      </c>
      <c r="H50" s="6" t="s">
        <v>1638</v>
      </c>
      <c r="I50" s="6" t="s">
        <v>1638</v>
      </c>
      <c r="J50" s="6" t="s">
        <v>1638</v>
      </c>
      <c r="K50" s="7">
        <v>39504</v>
      </c>
      <c r="L50" s="6" t="s">
        <v>1638</v>
      </c>
      <c r="M50">
        <v>2</v>
      </c>
      <c r="N50">
        <v>5</v>
      </c>
      <c r="O50" s="6" t="s">
        <v>1638</v>
      </c>
      <c r="P50" s="6" t="s">
        <v>1638</v>
      </c>
      <c r="Q50" s="6" t="s">
        <v>1638</v>
      </c>
      <c r="R50" s="6" t="s">
        <v>1638</v>
      </c>
      <c r="S50" s="6" t="s">
        <v>1638</v>
      </c>
      <c r="T50" s="6" t="s">
        <v>1638</v>
      </c>
      <c r="U50" s="6" t="s">
        <v>1638</v>
      </c>
      <c r="V50" s="6" t="s">
        <v>1638</v>
      </c>
      <c r="W50" s="6" t="s">
        <v>1640</v>
      </c>
      <c r="X50" s="7">
        <v>45925</v>
      </c>
      <c r="Y50">
        <v>0</v>
      </c>
      <c r="Z50" s="6" t="s">
        <v>1638</v>
      </c>
      <c r="AA50" s="6" t="str">
        <f>IFERROR(VLOOKUP(B50,BD_Clez_Premigracion!C:C,1,FALSE),"No encontrado")</f>
        <v>No encontrado</v>
      </c>
    </row>
    <row r="51" spans="1:27" x14ac:dyDescent="0.25">
      <c r="A51">
        <v>2213</v>
      </c>
      <c r="B51">
        <v>1062805635</v>
      </c>
      <c r="C51">
        <v>1</v>
      </c>
      <c r="D51" s="6" t="s">
        <v>1783</v>
      </c>
      <c r="E51" s="6" t="s">
        <v>1784</v>
      </c>
      <c r="F51">
        <v>3213879731</v>
      </c>
      <c r="G51" s="6" t="s">
        <v>1785</v>
      </c>
      <c r="H51" s="6" t="s">
        <v>1638</v>
      </c>
      <c r="I51" s="6" t="s">
        <v>1638</v>
      </c>
      <c r="J51" s="6" t="s">
        <v>1638</v>
      </c>
      <c r="K51" s="7">
        <v>38586</v>
      </c>
      <c r="L51" s="6" t="s">
        <v>1638</v>
      </c>
      <c r="M51">
        <v>2</v>
      </c>
      <c r="N51">
        <v>10</v>
      </c>
      <c r="O51" s="6" t="s">
        <v>1638</v>
      </c>
      <c r="P51" s="6" t="s">
        <v>1638</v>
      </c>
      <c r="Q51" s="6" t="s">
        <v>1638</v>
      </c>
      <c r="R51" s="6" t="s">
        <v>1638</v>
      </c>
      <c r="S51" s="6" t="s">
        <v>1638</v>
      </c>
      <c r="T51" s="6" t="s">
        <v>1638</v>
      </c>
      <c r="U51" s="6" t="s">
        <v>1638</v>
      </c>
      <c r="V51" s="6" t="s">
        <v>1638</v>
      </c>
      <c r="W51" s="6" t="s">
        <v>1640</v>
      </c>
      <c r="X51" s="7">
        <v>45925</v>
      </c>
      <c r="Y51">
        <v>0</v>
      </c>
      <c r="Z51" s="6" t="s">
        <v>1638</v>
      </c>
      <c r="AA51" s="6">
        <f>IFERROR(VLOOKUP(B51,BD_Clez_Premigracion!C:C,1,FALSE),"No encontrado")</f>
        <v>1062805635</v>
      </c>
    </row>
    <row r="52" spans="1:27" x14ac:dyDescent="0.25">
      <c r="A52">
        <v>2209</v>
      </c>
      <c r="B52">
        <v>1097913244</v>
      </c>
      <c r="C52">
        <v>3</v>
      </c>
      <c r="D52" s="6" t="s">
        <v>1786</v>
      </c>
      <c r="E52" s="6" t="s">
        <v>1787</v>
      </c>
      <c r="F52">
        <v>3045453625</v>
      </c>
      <c r="G52" s="6" t="s">
        <v>1788</v>
      </c>
      <c r="H52" s="6" t="s">
        <v>1638</v>
      </c>
      <c r="I52" s="6" t="s">
        <v>1638</v>
      </c>
      <c r="J52" s="6" t="s">
        <v>1638</v>
      </c>
      <c r="K52" s="7">
        <v>39782</v>
      </c>
      <c r="L52" s="6" t="s">
        <v>1638</v>
      </c>
      <c r="M52">
        <v>1</v>
      </c>
      <c r="N52">
        <v>8</v>
      </c>
      <c r="O52" s="6" t="s">
        <v>1638</v>
      </c>
      <c r="P52" s="6" t="s">
        <v>1638</v>
      </c>
      <c r="Q52" s="6" t="s">
        <v>1638</v>
      </c>
      <c r="R52" s="6" t="s">
        <v>1638</v>
      </c>
      <c r="S52" s="6" t="s">
        <v>1638</v>
      </c>
      <c r="T52" s="6" t="s">
        <v>1638</v>
      </c>
      <c r="U52" s="6" t="s">
        <v>1638</v>
      </c>
      <c r="V52" s="6" t="s">
        <v>1638</v>
      </c>
      <c r="W52" s="6" t="s">
        <v>1640</v>
      </c>
      <c r="X52" s="7">
        <v>45925</v>
      </c>
      <c r="Y52">
        <v>0</v>
      </c>
      <c r="Z52" s="6" t="s">
        <v>1638</v>
      </c>
      <c r="AA52" s="6">
        <f>IFERROR(VLOOKUP(B52,BD_Clez_Premigracion!C:C,1,FALSE),"No encontrado")</f>
        <v>1097913244</v>
      </c>
    </row>
    <row r="53" spans="1:27" x14ac:dyDescent="0.25">
      <c r="A53">
        <v>2217</v>
      </c>
      <c r="B53">
        <v>1007398638</v>
      </c>
      <c r="C53">
        <v>1</v>
      </c>
      <c r="D53" s="6" t="s">
        <v>1789</v>
      </c>
      <c r="E53" s="6" t="s">
        <v>1790</v>
      </c>
      <c r="F53">
        <v>3156115465</v>
      </c>
      <c r="G53" s="6" t="s">
        <v>1791</v>
      </c>
      <c r="H53" s="6" t="s">
        <v>1638</v>
      </c>
      <c r="I53" s="6" t="s">
        <v>1638</v>
      </c>
      <c r="J53" s="6" t="s">
        <v>1638</v>
      </c>
      <c r="K53" s="7">
        <v>36562</v>
      </c>
      <c r="L53" s="6" t="s">
        <v>1638</v>
      </c>
      <c r="M53">
        <v>1</v>
      </c>
      <c r="N53">
        <v>2</v>
      </c>
      <c r="O53" s="6" t="s">
        <v>1638</v>
      </c>
      <c r="P53" s="6" t="s">
        <v>1638</v>
      </c>
      <c r="Q53" s="6" t="s">
        <v>1638</v>
      </c>
      <c r="R53" s="6" t="s">
        <v>1638</v>
      </c>
      <c r="S53" s="6" t="s">
        <v>1638</v>
      </c>
      <c r="T53" s="6" t="s">
        <v>1638</v>
      </c>
      <c r="U53" s="6" t="s">
        <v>1638</v>
      </c>
      <c r="V53" s="6" t="s">
        <v>1638</v>
      </c>
      <c r="W53" s="6" t="s">
        <v>1640</v>
      </c>
      <c r="X53" s="7">
        <v>45926</v>
      </c>
      <c r="Y53">
        <v>0</v>
      </c>
      <c r="Z53" s="6" t="s">
        <v>1638</v>
      </c>
      <c r="AA53" s="6" t="str">
        <f>IFERROR(VLOOKUP(B53,BD_Clez_Premigracion!C:C,1,FALSE),"No encontrado")</f>
        <v>No encontrado</v>
      </c>
    </row>
    <row r="54" spans="1:27" x14ac:dyDescent="0.25">
      <c r="A54">
        <v>2219</v>
      </c>
      <c r="B54">
        <v>1090389408</v>
      </c>
      <c r="C54">
        <v>1</v>
      </c>
      <c r="D54" s="6" t="s">
        <v>1792</v>
      </c>
      <c r="E54" s="6" t="s">
        <v>1793</v>
      </c>
      <c r="F54">
        <v>3105155003</v>
      </c>
      <c r="G54" s="6" t="s">
        <v>1452</v>
      </c>
      <c r="H54" s="6" t="s">
        <v>1638</v>
      </c>
      <c r="I54" s="6" t="s">
        <v>1638</v>
      </c>
      <c r="J54" s="6" t="s">
        <v>1638</v>
      </c>
      <c r="K54" s="7">
        <v>38730</v>
      </c>
      <c r="L54" s="6" t="s">
        <v>1638</v>
      </c>
      <c r="M54">
        <v>2</v>
      </c>
      <c r="N54">
        <v>4</v>
      </c>
      <c r="O54" s="6" t="s">
        <v>1638</v>
      </c>
      <c r="P54" s="6" t="s">
        <v>1638</v>
      </c>
      <c r="Q54" s="6" t="s">
        <v>1638</v>
      </c>
      <c r="R54" s="6" t="s">
        <v>1638</v>
      </c>
      <c r="S54" s="6" t="s">
        <v>1638</v>
      </c>
      <c r="T54" s="6" t="s">
        <v>1638</v>
      </c>
      <c r="U54" s="6" t="s">
        <v>1638</v>
      </c>
      <c r="V54" s="6" t="s">
        <v>1638</v>
      </c>
      <c r="W54" s="6" t="s">
        <v>1640</v>
      </c>
      <c r="X54" s="7">
        <v>45926</v>
      </c>
      <c r="Y54">
        <v>0</v>
      </c>
      <c r="Z54" s="6" t="s">
        <v>1638</v>
      </c>
      <c r="AA54" s="6">
        <f>IFERROR(VLOOKUP(B54,BD_Clez_Premigracion!C:C,1,FALSE),"No encontrado")</f>
        <v>1090389408</v>
      </c>
    </row>
    <row r="55" spans="1:27" x14ac:dyDescent="0.25">
      <c r="A55">
        <v>2220</v>
      </c>
      <c r="B55">
        <v>37843916</v>
      </c>
      <c r="C55">
        <v>1</v>
      </c>
      <c r="D55" s="6" t="s">
        <v>1794</v>
      </c>
      <c r="E55" s="6" t="s">
        <v>1795</v>
      </c>
      <c r="F55">
        <v>3184084105</v>
      </c>
      <c r="G55" s="6" t="s">
        <v>537</v>
      </c>
      <c r="H55" s="6" t="s">
        <v>1638</v>
      </c>
      <c r="I55" s="6" t="s">
        <v>1638</v>
      </c>
      <c r="J55" s="6" t="s">
        <v>1638</v>
      </c>
      <c r="K55" s="7">
        <v>29593</v>
      </c>
      <c r="L55" s="6" t="s">
        <v>1638</v>
      </c>
      <c r="M55">
        <v>2</v>
      </c>
      <c r="N55">
        <v>10</v>
      </c>
      <c r="O55" s="6" t="s">
        <v>1638</v>
      </c>
      <c r="P55" s="6" t="s">
        <v>1638</v>
      </c>
      <c r="Q55" s="6" t="s">
        <v>1638</v>
      </c>
      <c r="R55" s="6" t="s">
        <v>1638</v>
      </c>
      <c r="S55" s="6" t="s">
        <v>1638</v>
      </c>
      <c r="T55" s="6" t="s">
        <v>1638</v>
      </c>
      <c r="U55" s="6" t="s">
        <v>1638</v>
      </c>
      <c r="V55" s="6" t="s">
        <v>1638</v>
      </c>
      <c r="W55" s="6" t="s">
        <v>1640</v>
      </c>
      <c r="X55" s="7">
        <v>45926</v>
      </c>
      <c r="Y55">
        <v>0</v>
      </c>
      <c r="Z55" s="6" t="s">
        <v>1638</v>
      </c>
      <c r="AA55" s="6">
        <f>IFERROR(VLOOKUP(B55,BD_Clez_Premigracion!C:C,1,FALSE),"No encontrado")</f>
        <v>37843916</v>
      </c>
    </row>
    <row r="56" spans="1:27" x14ac:dyDescent="0.25">
      <c r="A56">
        <v>2223</v>
      </c>
      <c r="B56">
        <v>1005281651</v>
      </c>
      <c r="C56">
        <v>1</v>
      </c>
      <c r="D56" s="6" t="s">
        <v>1796</v>
      </c>
      <c r="E56" s="6" t="s">
        <v>1797</v>
      </c>
      <c r="F56">
        <v>3025118581</v>
      </c>
      <c r="G56" s="6" t="s">
        <v>1460</v>
      </c>
      <c r="H56" s="6" t="s">
        <v>1638</v>
      </c>
      <c r="I56" s="6" t="s">
        <v>1638</v>
      </c>
      <c r="J56" s="6" t="s">
        <v>1638</v>
      </c>
      <c r="K56" s="7">
        <v>36865</v>
      </c>
      <c r="L56" s="6" t="s">
        <v>1638</v>
      </c>
      <c r="M56">
        <v>1</v>
      </c>
      <c r="N56">
        <v>2</v>
      </c>
      <c r="O56" s="6" t="s">
        <v>1638</v>
      </c>
      <c r="P56" s="6" t="s">
        <v>1638</v>
      </c>
      <c r="Q56" s="6" t="s">
        <v>1638</v>
      </c>
      <c r="R56" s="6" t="s">
        <v>1638</v>
      </c>
      <c r="S56" s="6" t="s">
        <v>1638</v>
      </c>
      <c r="T56" s="6" t="s">
        <v>1638</v>
      </c>
      <c r="U56" s="6" t="s">
        <v>1638</v>
      </c>
      <c r="V56" s="6" t="s">
        <v>1638</v>
      </c>
      <c r="W56" s="6" t="s">
        <v>1640</v>
      </c>
      <c r="X56" s="7">
        <v>45927</v>
      </c>
      <c r="Y56">
        <v>0</v>
      </c>
      <c r="Z56" s="6" t="s">
        <v>1638</v>
      </c>
      <c r="AA56" s="6">
        <f>IFERROR(VLOOKUP(B56,BD_Clez_Premigracion!C:C,1,FALSE),"No encontrado")</f>
        <v>1005281651</v>
      </c>
    </row>
    <row r="57" spans="1:27" x14ac:dyDescent="0.25">
      <c r="A57">
        <v>2226</v>
      </c>
      <c r="B57">
        <v>1102381129</v>
      </c>
      <c r="C57">
        <v>1</v>
      </c>
      <c r="D57" s="6" t="s">
        <v>1798</v>
      </c>
      <c r="E57" s="6" t="s">
        <v>1799</v>
      </c>
      <c r="F57">
        <v>3164687956</v>
      </c>
      <c r="G57" s="6" t="s">
        <v>1800</v>
      </c>
      <c r="H57" s="6" t="s">
        <v>1638</v>
      </c>
      <c r="I57" s="6" t="s">
        <v>1638</v>
      </c>
      <c r="J57" s="6" t="s">
        <v>1638</v>
      </c>
      <c r="K57" s="7">
        <v>35247</v>
      </c>
      <c r="L57" s="6" t="s">
        <v>1638</v>
      </c>
      <c r="M57">
        <v>2</v>
      </c>
      <c r="N57">
        <v>5</v>
      </c>
      <c r="O57" s="6" t="s">
        <v>1638</v>
      </c>
      <c r="P57" s="6" t="s">
        <v>1638</v>
      </c>
      <c r="Q57" s="6" t="s">
        <v>1638</v>
      </c>
      <c r="R57" s="6" t="s">
        <v>1638</v>
      </c>
      <c r="S57" s="6" t="s">
        <v>1638</v>
      </c>
      <c r="T57" s="6" t="s">
        <v>1638</v>
      </c>
      <c r="U57" s="6" t="s">
        <v>1638</v>
      </c>
      <c r="V57" s="6" t="s">
        <v>1638</v>
      </c>
      <c r="W57" s="6" t="s">
        <v>1640</v>
      </c>
      <c r="X57" s="7">
        <v>45929</v>
      </c>
      <c r="Y57">
        <v>0</v>
      </c>
      <c r="Z57" s="6" t="s">
        <v>1638</v>
      </c>
      <c r="AA57" s="6">
        <f>IFERROR(VLOOKUP(B57,BD_Clez_Premigracion!C:C,1,FALSE),"No encontrado")</f>
        <v>1102381129</v>
      </c>
    </row>
    <row r="58" spans="1:27" x14ac:dyDescent="0.25">
      <c r="A58">
        <v>2227</v>
      </c>
      <c r="B58">
        <v>1098805241</v>
      </c>
      <c r="C58">
        <v>1</v>
      </c>
      <c r="D58" s="6" t="s">
        <v>1801</v>
      </c>
      <c r="E58" s="6" t="s">
        <v>1802</v>
      </c>
      <c r="F58">
        <v>3002576915</v>
      </c>
      <c r="G58" s="6" t="s">
        <v>1467</v>
      </c>
      <c r="H58" s="6" t="s">
        <v>1638</v>
      </c>
      <c r="I58" s="6" t="s">
        <v>1638</v>
      </c>
      <c r="J58" s="6" t="s">
        <v>1638</v>
      </c>
      <c r="K58" s="7">
        <v>35586</v>
      </c>
      <c r="L58" s="6" t="s">
        <v>1638</v>
      </c>
      <c r="M58">
        <v>2</v>
      </c>
      <c r="N58">
        <v>8</v>
      </c>
      <c r="O58" s="6" t="s">
        <v>1638</v>
      </c>
      <c r="P58" s="6" t="s">
        <v>1638</v>
      </c>
      <c r="Q58" s="6" t="s">
        <v>1638</v>
      </c>
      <c r="R58" s="6" t="s">
        <v>1638</v>
      </c>
      <c r="S58" s="6" t="s">
        <v>1638</v>
      </c>
      <c r="T58" s="6" t="s">
        <v>1638</v>
      </c>
      <c r="U58" s="6" t="s">
        <v>1638</v>
      </c>
      <c r="V58" s="6" t="s">
        <v>1638</v>
      </c>
      <c r="W58" s="6" t="s">
        <v>1640</v>
      </c>
      <c r="X58" s="7">
        <v>45929</v>
      </c>
      <c r="Y58">
        <v>0</v>
      </c>
      <c r="Z58" s="6" t="s">
        <v>1638</v>
      </c>
      <c r="AA58" s="6">
        <f>IFERROR(VLOOKUP(B58,BD_Clez_Premigracion!C:C,1,FALSE),"No encontrado")</f>
        <v>1098805241</v>
      </c>
    </row>
    <row r="59" spans="1:27" x14ac:dyDescent="0.25">
      <c r="A59">
        <v>2218</v>
      </c>
      <c r="B59">
        <v>1005083893</v>
      </c>
      <c r="C59">
        <v>1</v>
      </c>
      <c r="D59" s="6" t="s">
        <v>1803</v>
      </c>
      <c r="E59" s="6" t="s">
        <v>1804</v>
      </c>
      <c r="F59">
        <v>3228485805</v>
      </c>
      <c r="G59" s="6" t="s">
        <v>1805</v>
      </c>
      <c r="H59" s="6" t="s">
        <v>1638</v>
      </c>
      <c r="I59" s="6" t="s">
        <v>1638</v>
      </c>
      <c r="J59" s="6" t="s">
        <v>1638</v>
      </c>
      <c r="K59" s="7">
        <v>36620</v>
      </c>
      <c r="L59" s="6" t="s">
        <v>1638</v>
      </c>
      <c r="M59">
        <v>1</v>
      </c>
      <c r="N59">
        <v>8</v>
      </c>
      <c r="O59" s="6" t="s">
        <v>1638</v>
      </c>
      <c r="P59" s="6" t="s">
        <v>1638</v>
      </c>
      <c r="Q59" s="6" t="s">
        <v>1638</v>
      </c>
      <c r="R59" s="6" t="s">
        <v>1638</v>
      </c>
      <c r="S59" s="6" t="s">
        <v>1638</v>
      </c>
      <c r="T59" s="6" t="s">
        <v>1638</v>
      </c>
      <c r="U59" s="6" t="s">
        <v>1638</v>
      </c>
      <c r="V59" s="6" t="s">
        <v>1638</v>
      </c>
      <c r="W59" s="6" t="s">
        <v>1640</v>
      </c>
      <c r="X59" s="7">
        <v>45926</v>
      </c>
      <c r="Y59">
        <v>0</v>
      </c>
      <c r="Z59" s="6" t="s">
        <v>1638</v>
      </c>
      <c r="AA59" s="6">
        <f>IFERROR(VLOOKUP(B59,BD_Clez_Premigracion!C:C,1,FALSE),"No encontrado")</f>
        <v>1005083893</v>
      </c>
    </row>
    <row r="60" spans="1:27" x14ac:dyDescent="0.25">
      <c r="A60">
        <v>2228</v>
      </c>
      <c r="B60">
        <v>1097098669</v>
      </c>
      <c r="C60">
        <v>1</v>
      </c>
      <c r="D60" s="6" t="s">
        <v>1806</v>
      </c>
      <c r="E60" s="6" t="s">
        <v>1807</v>
      </c>
      <c r="F60">
        <v>3107848458</v>
      </c>
      <c r="G60" s="6" t="s">
        <v>1808</v>
      </c>
      <c r="H60" s="6" t="s">
        <v>1638</v>
      </c>
      <c r="I60" s="6" t="s">
        <v>1638</v>
      </c>
      <c r="J60" s="6" t="s">
        <v>1638</v>
      </c>
      <c r="K60" s="7">
        <v>39242</v>
      </c>
      <c r="L60" s="6" t="s">
        <v>1638</v>
      </c>
      <c r="M60">
        <v>1</v>
      </c>
      <c r="N60">
        <v>2</v>
      </c>
      <c r="O60" s="6" t="s">
        <v>1638</v>
      </c>
      <c r="P60" s="6" t="s">
        <v>1638</v>
      </c>
      <c r="Q60" s="6" t="s">
        <v>1638</v>
      </c>
      <c r="R60" s="6" t="s">
        <v>1638</v>
      </c>
      <c r="S60" s="6" t="s">
        <v>1638</v>
      </c>
      <c r="T60" s="6" t="s">
        <v>1638</v>
      </c>
      <c r="U60" s="6" t="s">
        <v>1638</v>
      </c>
      <c r="V60" s="6" t="s">
        <v>1638</v>
      </c>
      <c r="W60" s="6" t="s">
        <v>1640</v>
      </c>
      <c r="X60" s="7">
        <v>45929</v>
      </c>
      <c r="Y60">
        <v>0</v>
      </c>
      <c r="Z60" s="6" t="s">
        <v>1638</v>
      </c>
      <c r="AA60" s="6">
        <f>IFERROR(VLOOKUP(B60,BD_Clez_Premigracion!C:C,1,FALSE),"No encontrado")</f>
        <v>1097098669</v>
      </c>
    </row>
    <row r="61" spans="1:27" x14ac:dyDescent="0.25">
      <c r="A61">
        <v>2231</v>
      </c>
      <c r="B61">
        <v>1095300596</v>
      </c>
      <c r="C61">
        <v>1</v>
      </c>
      <c r="D61" s="6" t="s">
        <v>1809</v>
      </c>
      <c r="E61" s="6" t="s">
        <v>1810</v>
      </c>
      <c r="F61">
        <v>3185197630</v>
      </c>
      <c r="G61" s="6" t="s">
        <v>1448</v>
      </c>
      <c r="H61" s="6" t="s">
        <v>1638</v>
      </c>
      <c r="I61" s="6" t="s">
        <v>1638</v>
      </c>
      <c r="J61" s="6" t="s">
        <v>1638</v>
      </c>
      <c r="K61" s="7">
        <v>38365</v>
      </c>
      <c r="L61" s="6" t="s">
        <v>1638</v>
      </c>
      <c r="M61">
        <v>2</v>
      </c>
      <c r="N61">
        <v>2</v>
      </c>
      <c r="O61" s="6" t="s">
        <v>1638</v>
      </c>
      <c r="P61" s="6" t="s">
        <v>1638</v>
      </c>
      <c r="Q61" s="6" t="s">
        <v>1638</v>
      </c>
      <c r="R61" s="6" t="s">
        <v>1638</v>
      </c>
      <c r="S61" s="6" t="s">
        <v>1638</v>
      </c>
      <c r="T61" s="6" t="s">
        <v>1638</v>
      </c>
      <c r="U61" s="6" t="s">
        <v>1638</v>
      </c>
      <c r="V61" s="6" t="s">
        <v>1638</v>
      </c>
      <c r="W61" s="6" t="s">
        <v>1640</v>
      </c>
      <c r="X61" s="7">
        <v>45929</v>
      </c>
      <c r="Y61">
        <v>0</v>
      </c>
      <c r="Z61" s="6" t="s">
        <v>1638</v>
      </c>
      <c r="AA61" s="6">
        <f>IFERROR(VLOOKUP(B61,BD_Clez_Premigracion!C:C,1,FALSE),"No encontrado")</f>
        <v>1095300596</v>
      </c>
    </row>
    <row r="62" spans="1:27" x14ac:dyDescent="0.25">
      <c r="A62">
        <v>2232</v>
      </c>
      <c r="B62">
        <v>1098718284</v>
      </c>
      <c r="C62">
        <v>1</v>
      </c>
      <c r="D62" s="6" t="s">
        <v>1811</v>
      </c>
      <c r="E62" s="6" t="s">
        <v>1812</v>
      </c>
      <c r="F62">
        <v>3153049735</v>
      </c>
      <c r="G62" s="6" t="s">
        <v>1813</v>
      </c>
      <c r="H62" s="6" t="s">
        <v>1638</v>
      </c>
      <c r="I62" s="6" t="s">
        <v>1814</v>
      </c>
      <c r="J62" s="6" t="s">
        <v>1638</v>
      </c>
      <c r="K62" s="7">
        <v>33657</v>
      </c>
      <c r="L62" s="6" t="s">
        <v>1638</v>
      </c>
      <c r="M62">
        <v>1</v>
      </c>
      <c r="N62">
        <v>10</v>
      </c>
      <c r="O62" s="6" t="s">
        <v>1638</v>
      </c>
      <c r="P62" s="6" t="s">
        <v>1638</v>
      </c>
      <c r="Q62" s="6" t="s">
        <v>1638</v>
      </c>
      <c r="R62" s="6" t="s">
        <v>1815</v>
      </c>
      <c r="S62" s="6" t="s">
        <v>1816</v>
      </c>
      <c r="T62" s="6" t="s">
        <v>1721</v>
      </c>
      <c r="U62" s="6" t="s">
        <v>1817</v>
      </c>
      <c r="V62" s="6" t="s">
        <v>1638</v>
      </c>
      <c r="W62" s="6" t="s">
        <v>35</v>
      </c>
      <c r="X62" s="7">
        <v>45929</v>
      </c>
      <c r="Y62">
        <v>0</v>
      </c>
      <c r="Z62" s="6" t="s">
        <v>1709</v>
      </c>
      <c r="AA62" s="6" t="str">
        <f>IFERROR(VLOOKUP(B62,BD_Clez_Premigracion!C:C,1,FALSE),"No encontrado")</f>
        <v>No encontrado</v>
      </c>
    </row>
    <row r="63" spans="1:27" x14ac:dyDescent="0.25">
      <c r="A63">
        <v>2229</v>
      </c>
      <c r="B63">
        <v>3079306</v>
      </c>
      <c r="C63">
        <v>6</v>
      </c>
      <c r="D63" s="6" t="s">
        <v>1818</v>
      </c>
      <c r="E63" s="6" t="s">
        <v>1819</v>
      </c>
      <c r="F63">
        <v>3027028560</v>
      </c>
      <c r="G63" s="6" t="s">
        <v>1820</v>
      </c>
      <c r="H63" s="6" t="s">
        <v>1638</v>
      </c>
      <c r="I63" s="6" t="s">
        <v>1638</v>
      </c>
      <c r="J63" s="6" t="s">
        <v>1638</v>
      </c>
      <c r="K63" s="7">
        <v>33467</v>
      </c>
      <c r="L63" s="6" t="s">
        <v>1638</v>
      </c>
      <c r="M63">
        <v>1</v>
      </c>
      <c r="N63">
        <v>1</v>
      </c>
      <c r="O63" s="6" t="s">
        <v>1638</v>
      </c>
      <c r="P63" s="6" t="s">
        <v>1638</v>
      </c>
      <c r="Q63" s="6" t="s">
        <v>1638</v>
      </c>
      <c r="R63" s="6" t="s">
        <v>1638</v>
      </c>
      <c r="S63" s="6" t="s">
        <v>1638</v>
      </c>
      <c r="T63" s="6" t="s">
        <v>1638</v>
      </c>
      <c r="U63" s="6" t="s">
        <v>1638</v>
      </c>
      <c r="V63" s="6" t="s">
        <v>1638</v>
      </c>
      <c r="W63" s="6" t="s">
        <v>1640</v>
      </c>
      <c r="X63" s="7">
        <v>45929</v>
      </c>
      <c r="Y63">
        <v>0</v>
      </c>
      <c r="Z63" s="6" t="s">
        <v>1638</v>
      </c>
      <c r="AA63" s="6">
        <f>IFERROR(VLOOKUP(B63,BD_Clez_Premigracion!C:C,1,FALSE),"No encontrado")</f>
        <v>3079306</v>
      </c>
    </row>
    <row r="64" spans="1:27" x14ac:dyDescent="0.25">
      <c r="A64">
        <v>2225</v>
      </c>
      <c r="B64">
        <v>1127665592</v>
      </c>
      <c r="C64">
        <v>1</v>
      </c>
      <c r="D64" s="6" t="s">
        <v>1821</v>
      </c>
      <c r="E64" s="6" t="s">
        <v>1822</v>
      </c>
      <c r="F64">
        <v>3202888083</v>
      </c>
      <c r="G64" s="6" t="s">
        <v>1823</v>
      </c>
      <c r="H64" s="6" t="s">
        <v>1638</v>
      </c>
      <c r="I64" s="6" t="s">
        <v>1638</v>
      </c>
      <c r="J64" s="6" t="s">
        <v>1638</v>
      </c>
      <c r="K64" s="7">
        <v>31333</v>
      </c>
      <c r="L64" s="6" t="s">
        <v>1638</v>
      </c>
      <c r="M64">
        <v>2</v>
      </c>
      <c r="N64">
        <v>4</v>
      </c>
      <c r="O64" s="6" t="s">
        <v>1638</v>
      </c>
      <c r="P64" s="6" t="s">
        <v>1638</v>
      </c>
      <c r="Q64" s="6" t="s">
        <v>1638</v>
      </c>
      <c r="R64" s="6" t="s">
        <v>1638</v>
      </c>
      <c r="S64" s="6" t="s">
        <v>1638</v>
      </c>
      <c r="T64" s="6" t="s">
        <v>1638</v>
      </c>
      <c r="U64" s="6" t="s">
        <v>1638</v>
      </c>
      <c r="V64" s="6" t="s">
        <v>1638</v>
      </c>
      <c r="W64" s="6" t="s">
        <v>1640</v>
      </c>
      <c r="X64" s="7">
        <v>45929</v>
      </c>
      <c r="Y64">
        <v>0</v>
      </c>
      <c r="Z64" s="6" t="s">
        <v>1638</v>
      </c>
      <c r="AA64" s="6" t="str">
        <f>IFERROR(VLOOKUP(B64,BD_Clez_Premigracion!C:C,1,FALSE),"No encontrado")</f>
        <v>No encontrado</v>
      </c>
    </row>
    <row r="65" spans="1:27" x14ac:dyDescent="0.25">
      <c r="A65">
        <v>2207</v>
      </c>
      <c r="B65">
        <v>1098812062</v>
      </c>
      <c r="C65">
        <v>1</v>
      </c>
      <c r="D65" s="6" t="s">
        <v>1824</v>
      </c>
      <c r="E65" s="6" t="s">
        <v>1825</v>
      </c>
      <c r="F65">
        <v>3219566017</v>
      </c>
      <c r="G65" s="6" t="s">
        <v>1544</v>
      </c>
      <c r="H65" s="6" t="s">
        <v>1638</v>
      </c>
      <c r="I65" s="6" t="s">
        <v>1638</v>
      </c>
      <c r="J65" s="6" t="s">
        <v>1638</v>
      </c>
      <c r="K65" s="7">
        <v>36068</v>
      </c>
      <c r="L65" s="6" t="s">
        <v>1638</v>
      </c>
      <c r="M65">
        <v>2</v>
      </c>
      <c r="N65">
        <v>10</v>
      </c>
      <c r="O65" s="6" t="s">
        <v>1638</v>
      </c>
      <c r="P65" s="6" t="s">
        <v>1638</v>
      </c>
      <c r="Q65" s="6" t="s">
        <v>1638</v>
      </c>
      <c r="R65" s="6" t="s">
        <v>1638</v>
      </c>
      <c r="S65" s="6" t="s">
        <v>1638</v>
      </c>
      <c r="T65" s="6" t="s">
        <v>1638</v>
      </c>
      <c r="U65" s="6" t="s">
        <v>1638</v>
      </c>
      <c r="V65" s="6" t="s">
        <v>1638</v>
      </c>
      <c r="W65" s="6" t="s">
        <v>1640</v>
      </c>
      <c r="X65" s="7">
        <v>45925</v>
      </c>
      <c r="Y65">
        <v>0</v>
      </c>
      <c r="Z65" s="6" t="s">
        <v>1638</v>
      </c>
      <c r="AA65" s="6">
        <f>IFERROR(VLOOKUP(B65,BD_Clez_Premigracion!C:C,1,FALSE),"No encontrado")</f>
        <v>1098812062</v>
      </c>
    </row>
    <row r="66" spans="1:27" x14ac:dyDescent="0.25">
      <c r="A66">
        <v>2233</v>
      </c>
      <c r="B66">
        <v>1192716330</v>
      </c>
      <c r="C66">
        <v>1</v>
      </c>
      <c r="D66" s="6" t="s">
        <v>1826</v>
      </c>
      <c r="E66" s="6" t="s">
        <v>1827</v>
      </c>
      <c r="F66">
        <v>3123551936</v>
      </c>
      <c r="G66" s="6" t="s">
        <v>1419</v>
      </c>
      <c r="H66" s="6" t="s">
        <v>1638</v>
      </c>
      <c r="I66" s="6" t="s">
        <v>1638</v>
      </c>
      <c r="J66" s="6" t="s">
        <v>1638</v>
      </c>
      <c r="K66" s="7">
        <v>37366</v>
      </c>
      <c r="L66" s="6" t="s">
        <v>1638</v>
      </c>
      <c r="M66">
        <v>1</v>
      </c>
      <c r="N66">
        <v>4</v>
      </c>
      <c r="O66" s="6" t="s">
        <v>1638</v>
      </c>
      <c r="P66" s="6" t="s">
        <v>1638</v>
      </c>
      <c r="Q66" s="6" t="s">
        <v>1638</v>
      </c>
      <c r="R66" s="6" t="s">
        <v>1638</v>
      </c>
      <c r="S66" s="6" t="s">
        <v>1638</v>
      </c>
      <c r="T66" s="6" t="s">
        <v>1638</v>
      </c>
      <c r="U66" s="6" t="s">
        <v>1638</v>
      </c>
      <c r="V66" s="6" t="s">
        <v>1638</v>
      </c>
      <c r="W66" s="6" t="s">
        <v>1640</v>
      </c>
      <c r="X66" s="7">
        <v>45929</v>
      </c>
      <c r="Y66">
        <v>0</v>
      </c>
      <c r="Z66" s="6" t="s">
        <v>1638</v>
      </c>
      <c r="AA66" s="6">
        <f>IFERROR(VLOOKUP(B66,BD_Clez_Premigracion!C:C,1,FALSE),"No encontrado")</f>
        <v>1192716330</v>
      </c>
    </row>
    <row r="67" spans="1:27" x14ac:dyDescent="0.25">
      <c r="A67">
        <v>2214</v>
      </c>
      <c r="B67">
        <v>1090521204</v>
      </c>
      <c r="C67">
        <v>1</v>
      </c>
      <c r="D67" s="6" t="s">
        <v>1828</v>
      </c>
      <c r="E67" s="6" t="s">
        <v>1829</v>
      </c>
      <c r="F67">
        <v>3217134813</v>
      </c>
      <c r="G67" s="6" t="s">
        <v>1830</v>
      </c>
      <c r="H67" s="6" t="s">
        <v>1638</v>
      </c>
      <c r="I67" s="6" t="s">
        <v>1638</v>
      </c>
      <c r="J67" s="6" t="s">
        <v>1638</v>
      </c>
      <c r="K67" s="7">
        <v>35949</v>
      </c>
      <c r="L67" s="6" t="s">
        <v>1638</v>
      </c>
      <c r="M67">
        <v>2</v>
      </c>
      <c r="N67">
        <v>2</v>
      </c>
      <c r="O67" s="6" t="s">
        <v>1638</v>
      </c>
      <c r="P67" s="6" t="s">
        <v>1638</v>
      </c>
      <c r="Q67" s="6" t="s">
        <v>1638</v>
      </c>
      <c r="R67" s="6" t="s">
        <v>1638</v>
      </c>
      <c r="S67" s="6" t="s">
        <v>1638</v>
      </c>
      <c r="T67" s="6" t="s">
        <v>1638</v>
      </c>
      <c r="U67" s="6" t="s">
        <v>1638</v>
      </c>
      <c r="V67" s="6" t="s">
        <v>1638</v>
      </c>
      <c r="W67" s="6" t="s">
        <v>1640</v>
      </c>
      <c r="X67" s="7">
        <v>45925</v>
      </c>
      <c r="Y67">
        <v>0</v>
      </c>
      <c r="Z67" s="6" t="s">
        <v>1638</v>
      </c>
      <c r="AA67" s="6">
        <f>IFERROR(VLOOKUP(B67,BD_Clez_Premigracion!C:C,1,FALSE),"No encontrado")</f>
        <v>1090521204</v>
      </c>
    </row>
    <row r="68" spans="1:27" x14ac:dyDescent="0.25">
      <c r="A68">
        <v>2234</v>
      </c>
      <c r="B68">
        <v>1098070689</v>
      </c>
      <c r="C68">
        <v>1</v>
      </c>
      <c r="D68" s="6" t="s">
        <v>1831</v>
      </c>
      <c r="E68" s="6" t="s">
        <v>1832</v>
      </c>
      <c r="F68">
        <v>3107907445</v>
      </c>
      <c r="G68" s="6" t="s">
        <v>1833</v>
      </c>
      <c r="H68" s="6" t="s">
        <v>1638</v>
      </c>
      <c r="I68" s="6" t="s">
        <v>1834</v>
      </c>
      <c r="J68" s="6" t="s">
        <v>1638</v>
      </c>
      <c r="K68" s="7">
        <v>38289</v>
      </c>
      <c r="L68" s="6" t="s">
        <v>1638</v>
      </c>
      <c r="M68">
        <v>1</v>
      </c>
      <c r="N68">
        <v>2</v>
      </c>
      <c r="O68" s="6" t="s">
        <v>1638</v>
      </c>
      <c r="P68" s="6" t="s">
        <v>1638</v>
      </c>
      <c r="Q68" s="6" t="s">
        <v>1638</v>
      </c>
      <c r="R68" s="6" t="s">
        <v>1695</v>
      </c>
      <c r="S68" s="6" t="s">
        <v>1835</v>
      </c>
      <c r="T68" s="6" t="s">
        <v>1721</v>
      </c>
      <c r="U68" s="6" t="s">
        <v>1836</v>
      </c>
      <c r="V68" s="6" t="s">
        <v>1638</v>
      </c>
      <c r="W68" s="6" t="s">
        <v>35</v>
      </c>
      <c r="X68" s="7">
        <v>45929</v>
      </c>
      <c r="Y68">
        <v>0</v>
      </c>
      <c r="Z68" s="6" t="s">
        <v>1709</v>
      </c>
      <c r="AA68" s="6" t="str">
        <f>IFERROR(VLOOKUP(B68,BD_Clez_Premigracion!C:C,1,FALSE),"No encontrado")</f>
        <v>No encontrado</v>
      </c>
    </row>
    <row r="69" spans="1:27" x14ac:dyDescent="0.25">
      <c r="A69">
        <v>2235</v>
      </c>
      <c r="B69">
        <v>1098819918</v>
      </c>
      <c r="C69">
        <v>1</v>
      </c>
      <c r="D69" s="6" t="s">
        <v>1837</v>
      </c>
      <c r="E69" s="6" t="s">
        <v>1838</v>
      </c>
      <c r="F69">
        <v>3223223953</v>
      </c>
      <c r="G69" s="6" t="s">
        <v>1839</v>
      </c>
      <c r="H69" s="6" t="s">
        <v>1638</v>
      </c>
      <c r="I69" s="6" t="s">
        <v>1840</v>
      </c>
      <c r="J69" s="6" t="s">
        <v>1638</v>
      </c>
      <c r="K69" s="7">
        <v>36316</v>
      </c>
      <c r="L69" s="6" t="s">
        <v>1638</v>
      </c>
      <c r="M69">
        <v>2</v>
      </c>
      <c r="N69">
        <v>2</v>
      </c>
      <c r="O69" s="6" t="s">
        <v>1638</v>
      </c>
      <c r="P69" s="6" t="s">
        <v>1638</v>
      </c>
      <c r="Q69" s="6" t="s">
        <v>1638</v>
      </c>
      <c r="R69" s="6" t="s">
        <v>1639</v>
      </c>
      <c r="S69" s="6" t="s">
        <v>1841</v>
      </c>
      <c r="T69" s="6" t="s">
        <v>1842</v>
      </c>
      <c r="U69" s="6" t="s">
        <v>1843</v>
      </c>
      <c r="V69" s="6" t="s">
        <v>1638</v>
      </c>
      <c r="W69" s="6" t="s">
        <v>35</v>
      </c>
      <c r="X69" s="7">
        <v>45929</v>
      </c>
      <c r="Y69">
        <v>0</v>
      </c>
      <c r="Z69" s="6" t="s">
        <v>1709</v>
      </c>
      <c r="AA69" s="6" t="str">
        <f>IFERROR(VLOOKUP(B69,BD_Clez_Premigracion!C:C,1,FALSE),"No encontrado")</f>
        <v>No encontrado</v>
      </c>
    </row>
    <row r="70" spans="1:27" x14ac:dyDescent="0.25">
      <c r="A70">
        <v>2236</v>
      </c>
      <c r="B70">
        <v>1044607327</v>
      </c>
      <c r="C70">
        <v>1</v>
      </c>
      <c r="D70" s="6" t="s">
        <v>1844</v>
      </c>
      <c r="E70" s="6" t="s">
        <v>1845</v>
      </c>
      <c r="F70">
        <v>3043322841</v>
      </c>
      <c r="G70" s="6" t="s">
        <v>1846</v>
      </c>
      <c r="H70" s="6" t="s">
        <v>1638</v>
      </c>
      <c r="I70" s="6" t="s">
        <v>1847</v>
      </c>
      <c r="J70" s="6" t="s">
        <v>1638</v>
      </c>
      <c r="K70" s="7">
        <v>38344</v>
      </c>
      <c r="L70" s="6" t="s">
        <v>1638</v>
      </c>
      <c r="M70">
        <v>2</v>
      </c>
      <c r="N70">
        <v>3</v>
      </c>
      <c r="O70" s="6" t="s">
        <v>1638</v>
      </c>
      <c r="P70" s="6" t="s">
        <v>1638</v>
      </c>
      <c r="Q70" s="6" t="s">
        <v>1638</v>
      </c>
      <c r="R70" s="6" t="s">
        <v>1848</v>
      </c>
      <c r="S70" s="6" t="s">
        <v>1849</v>
      </c>
      <c r="T70" s="6" t="s">
        <v>1721</v>
      </c>
      <c r="U70" s="6" t="s">
        <v>1850</v>
      </c>
      <c r="V70" s="6" t="s">
        <v>1638</v>
      </c>
      <c r="W70" s="6" t="s">
        <v>35</v>
      </c>
      <c r="X70" s="7">
        <v>45929</v>
      </c>
      <c r="Y70">
        <v>0</v>
      </c>
      <c r="Z70" s="6" t="s">
        <v>1709</v>
      </c>
      <c r="AA70" s="6" t="str">
        <f>IFERROR(VLOOKUP(B70,BD_Clez_Premigracion!C:C,1,FALSE),"No encontrado")</f>
        <v>No encontrado</v>
      </c>
    </row>
    <row r="71" spans="1:27" x14ac:dyDescent="0.25">
      <c r="A71">
        <v>2237</v>
      </c>
      <c r="B71">
        <v>1102361317</v>
      </c>
      <c r="C71">
        <v>3</v>
      </c>
      <c r="D71" s="6" t="s">
        <v>1851</v>
      </c>
      <c r="E71" s="6" t="s">
        <v>1852</v>
      </c>
      <c r="F71">
        <v>3006043949</v>
      </c>
      <c r="G71" s="6" t="s">
        <v>1853</v>
      </c>
      <c r="H71" s="6" t="s">
        <v>1638</v>
      </c>
      <c r="I71" s="6" t="s">
        <v>1854</v>
      </c>
      <c r="J71" s="6" t="s">
        <v>1638</v>
      </c>
      <c r="K71" s="7">
        <v>39329</v>
      </c>
      <c r="L71" s="6" t="s">
        <v>1638</v>
      </c>
      <c r="M71">
        <v>1</v>
      </c>
      <c r="N71">
        <v>5</v>
      </c>
      <c r="O71" s="6" t="s">
        <v>1638</v>
      </c>
      <c r="P71" s="6" t="s">
        <v>1638</v>
      </c>
      <c r="Q71" s="6" t="s">
        <v>1638</v>
      </c>
      <c r="R71" s="6" t="s">
        <v>1855</v>
      </c>
      <c r="S71" s="6" t="s">
        <v>1856</v>
      </c>
      <c r="T71" s="6" t="s">
        <v>1721</v>
      </c>
      <c r="U71" s="6" t="s">
        <v>1857</v>
      </c>
      <c r="V71" s="6" t="s">
        <v>1638</v>
      </c>
      <c r="W71" s="6" t="s">
        <v>35</v>
      </c>
      <c r="X71" s="7">
        <v>45929</v>
      </c>
      <c r="Y71">
        <v>0</v>
      </c>
      <c r="Z71" s="6" t="s">
        <v>1709</v>
      </c>
      <c r="AA71" s="6" t="str">
        <f>IFERROR(VLOOKUP(B71,BD_Clez_Premigracion!C:C,1,FALSE),"No encontrado")</f>
        <v>No encontrado</v>
      </c>
    </row>
    <row r="72" spans="1:27" x14ac:dyDescent="0.25">
      <c r="A72">
        <v>2238</v>
      </c>
      <c r="B72">
        <v>1094267818</v>
      </c>
      <c r="C72">
        <v>1</v>
      </c>
      <c r="D72" s="6" t="s">
        <v>1858</v>
      </c>
      <c r="E72" s="6" t="s">
        <v>1859</v>
      </c>
      <c r="F72">
        <v>3016218873</v>
      </c>
      <c r="G72" s="6" t="s">
        <v>1860</v>
      </c>
      <c r="H72" s="6" t="s">
        <v>1638</v>
      </c>
      <c r="I72" s="6" t="s">
        <v>1861</v>
      </c>
      <c r="J72" s="6" t="s">
        <v>1638</v>
      </c>
      <c r="K72" s="7">
        <v>33565</v>
      </c>
      <c r="L72" s="6" t="s">
        <v>1638</v>
      </c>
      <c r="M72">
        <v>1</v>
      </c>
      <c r="N72">
        <v>4</v>
      </c>
      <c r="O72" s="6" t="s">
        <v>1638</v>
      </c>
      <c r="P72" s="6" t="s">
        <v>1638</v>
      </c>
      <c r="Q72" s="6" t="s">
        <v>1638</v>
      </c>
      <c r="R72" s="6" t="s">
        <v>1848</v>
      </c>
      <c r="S72" s="6" t="s">
        <v>1862</v>
      </c>
      <c r="T72" s="6" t="s">
        <v>1842</v>
      </c>
      <c r="U72" s="6" t="s">
        <v>1863</v>
      </c>
      <c r="V72" s="6" t="s">
        <v>1638</v>
      </c>
      <c r="W72" s="6" t="s">
        <v>35</v>
      </c>
      <c r="X72" s="7">
        <v>45929</v>
      </c>
      <c r="Y72">
        <v>0</v>
      </c>
      <c r="Z72" s="6" t="s">
        <v>1709</v>
      </c>
      <c r="AA72" s="6" t="str">
        <f>IFERROR(VLOOKUP(B72,BD_Clez_Premigracion!C:C,1,FALSE),"No encontrado")</f>
        <v>No encontrado</v>
      </c>
    </row>
    <row r="73" spans="1:27" x14ac:dyDescent="0.25">
      <c r="A73">
        <v>2210</v>
      </c>
      <c r="B73">
        <v>1005448346</v>
      </c>
      <c r="C73">
        <v>1</v>
      </c>
      <c r="D73" s="6" t="s">
        <v>1864</v>
      </c>
      <c r="E73" s="6" t="s">
        <v>1865</v>
      </c>
      <c r="F73">
        <v>3187249327</v>
      </c>
      <c r="G73" s="6" t="s">
        <v>1412</v>
      </c>
      <c r="H73" s="6" t="s">
        <v>1638</v>
      </c>
      <c r="I73" s="6" t="s">
        <v>1638</v>
      </c>
      <c r="J73" s="6" t="s">
        <v>1638</v>
      </c>
      <c r="K73" s="7">
        <v>37138</v>
      </c>
      <c r="L73" s="6" t="s">
        <v>1638</v>
      </c>
      <c r="M73">
        <v>2</v>
      </c>
      <c r="N73">
        <v>5</v>
      </c>
      <c r="O73" s="6" t="s">
        <v>1638</v>
      </c>
      <c r="P73" s="6" t="s">
        <v>1638</v>
      </c>
      <c r="Q73" s="6" t="s">
        <v>1638</v>
      </c>
      <c r="R73" s="6" t="s">
        <v>1638</v>
      </c>
      <c r="S73" s="6" t="s">
        <v>1638</v>
      </c>
      <c r="T73" s="6" t="s">
        <v>1638</v>
      </c>
      <c r="U73" s="6" t="s">
        <v>1638</v>
      </c>
      <c r="V73" s="6" t="s">
        <v>1638</v>
      </c>
      <c r="W73" s="6" t="s">
        <v>1640</v>
      </c>
      <c r="X73" s="7">
        <v>45925</v>
      </c>
      <c r="Y73">
        <v>0</v>
      </c>
      <c r="Z73" s="6" t="s">
        <v>1638</v>
      </c>
      <c r="AA73" s="6">
        <f>IFERROR(VLOOKUP(B73,BD_Clez_Premigracion!C:C,1,FALSE),"No encontrado")</f>
        <v>1005448346</v>
      </c>
    </row>
    <row r="74" spans="1:27" x14ac:dyDescent="0.25">
      <c r="A74">
        <v>2241</v>
      </c>
      <c r="B74">
        <v>1095848550</v>
      </c>
      <c r="C74">
        <v>1</v>
      </c>
      <c r="D74" s="6" t="s">
        <v>1866</v>
      </c>
      <c r="E74" s="6" t="s">
        <v>1867</v>
      </c>
      <c r="F74">
        <v>3138817565</v>
      </c>
      <c r="G74" s="6" t="s">
        <v>1868</v>
      </c>
      <c r="H74" s="6" t="s">
        <v>1638</v>
      </c>
      <c r="I74" s="6" t="s">
        <v>1638</v>
      </c>
      <c r="J74" s="6" t="s">
        <v>1638</v>
      </c>
      <c r="K74" s="7">
        <v>37918</v>
      </c>
      <c r="L74" s="6" t="s">
        <v>1638</v>
      </c>
      <c r="M74">
        <v>2</v>
      </c>
      <c r="N74">
        <v>5</v>
      </c>
      <c r="O74" s="6" t="s">
        <v>1638</v>
      </c>
      <c r="P74" s="6" t="s">
        <v>1638</v>
      </c>
      <c r="Q74" s="6" t="s">
        <v>1638</v>
      </c>
      <c r="R74" s="6" t="s">
        <v>1638</v>
      </c>
      <c r="S74" s="6" t="s">
        <v>1638</v>
      </c>
      <c r="T74" s="6" t="s">
        <v>1638</v>
      </c>
      <c r="U74" s="6" t="s">
        <v>1638</v>
      </c>
      <c r="V74" s="6" t="s">
        <v>1638</v>
      </c>
      <c r="W74" s="6" t="s">
        <v>1640</v>
      </c>
      <c r="X74" s="7">
        <v>45930</v>
      </c>
      <c r="Y74">
        <v>0</v>
      </c>
      <c r="Z74" s="6" t="s">
        <v>1638</v>
      </c>
      <c r="AA74" s="6">
        <f>IFERROR(VLOOKUP(B74,BD_Clez_Premigracion!C:C,1,FALSE),"No encontrado")</f>
        <v>1095848550</v>
      </c>
    </row>
    <row r="75" spans="1:27" x14ac:dyDescent="0.25">
      <c r="A75">
        <v>2239</v>
      </c>
      <c r="B75">
        <v>1095822856</v>
      </c>
      <c r="C75">
        <v>1</v>
      </c>
      <c r="D75" s="6" t="s">
        <v>1869</v>
      </c>
      <c r="E75" s="6" t="s">
        <v>1870</v>
      </c>
      <c r="F75">
        <v>3166038564</v>
      </c>
      <c r="G75" s="6" t="s">
        <v>1871</v>
      </c>
      <c r="H75" s="6" t="s">
        <v>1638</v>
      </c>
      <c r="I75" s="6" t="s">
        <v>1638</v>
      </c>
      <c r="J75" s="6" t="s">
        <v>1638</v>
      </c>
      <c r="K75" s="7">
        <v>34703</v>
      </c>
      <c r="L75" s="6" t="s">
        <v>1638</v>
      </c>
      <c r="M75">
        <v>2</v>
      </c>
      <c r="N75">
        <v>7</v>
      </c>
      <c r="O75" s="6" t="s">
        <v>1638</v>
      </c>
      <c r="P75" s="6" t="s">
        <v>1638</v>
      </c>
      <c r="Q75" s="6" t="s">
        <v>1638</v>
      </c>
      <c r="R75" s="6" t="s">
        <v>1638</v>
      </c>
      <c r="S75" s="6" t="s">
        <v>1638</v>
      </c>
      <c r="T75" s="6" t="s">
        <v>1638</v>
      </c>
      <c r="U75" s="6" t="s">
        <v>1638</v>
      </c>
      <c r="V75" s="6" t="s">
        <v>1638</v>
      </c>
      <c r="W75" s="6" t="s">
        <v>1640</v>
      </c>
      <c r="X75" s="7">
        <v>45930</v>
      </c>
      <c r="Y75">
        <v>0</v>
      </c>
      <c r="Z75" s="6" t="s">
        <v>1638</v>
      </c>
      <c r="AA75" s="6">
        <f>IFERROR(VLOOKUP(B75,BD_Clez_Premigracion!C:C,1,FALSE),"No encontrado")</f>
        <v>1095822856</v>
      </c>
    </row>
    <row r="76" spans="1:27" x14ac:dyDescent="0.25">
      <c r="A76">
        <v>2224</v>
      </c>
      <c r="B76">
        <v>13717603</v>
      </c>
      <c r="C76">
        <v>1</v>
      </c>
      <c r="D76" s="6" t="s">
        <v>1872</v>
      </c>
      <c r="E76" s="6" t="s">
        <v>1873</v>
      </c>
      <c r="F76">
        <v>3122032476</v>
      </c>
      <c r="G76" s="6" t="s">
        <v>1874</v>
      </c>
      <c r="H76" s="6" t="s">
        <v>1638</v>
      </c>
      <c r="I76" s="6" t="s">
        <v>1638</v>
      </c>
      <c r="J76" s="6" t="s">
        <v>1638</v>
      </c>
      <c r="K76" s="7">
        <v>28715</v>
      </c>
      <c r="L76" s="6" t="s">
        <v>1638</v>
      </c>
      <c r="M76">
        <v>1</v>
      </c>
      <c r="N76">
        <v>5</v>
      </c>
      <c r="O76" s="6" t="s">
        <v>1638</v>
      </c>
      <c r="P76" s="6" t="s">
        <v>1638</v>
      </c>
      <c r="Q76" s="6" t="s">
        <v>1638</v>
      </c>
      <c r="R76" s="6" t="s">
        <v>1638</v>
      </c>
      <c r="S76" s="6" t="s">
        <v>1638</v>
      </c>
      <c r="T76" s="6" t="s">
        <v>1638</v>
      </c>
      <c r="U76" s="6" t="s">
        <v>1638</v>
      </c>
      <c r="V76" s="6" t="s">
        <v>1638</v>
      </c>
      <c r="W76" s="6" t="s">
        <v>1640</v>
      </c>
      <c r="X76" s="7">
        <v>45927</v>
      </c>
      <c r="Y76">
        <v>0</v>
      </c>
      <c r="Z76" s="6" t="s">
        <v>1638</v>
      </c>
      <c r="AA76" s="6">
        <f>IFERROR(VLOOKUP(B76,BD_Clez_Premigracion!C:C,1,FALSE),"No encontrado")</f>
        <v>13717603</v>
      </c>
    </row>
    <row r="77" spans="1:27" x14ac:dyDescent="0.25">
      <c r="A77">
        <v>2243</v>
      </c>
      <c r="B77">
        <v>1096245956</v>
      </c>
      <c r="C77">
        <v>1</v>
      </c>
      <c r="D77" s="6" t="s">
        <v>1875</v>
      </c>
      <c r="E77" s="6" t="s">
        <v>1876</v>
      </c>
      <c r="F77">
        <v>3208524555</v>
      </c>
      <c r="G77" s="6" t="s">
        <v>1877</v>
      </c>
      <c r="H77" s="6" t="s">
        <v>1638</v>
      </c>
      <c r="I77" s="6" t="s">
        <v>1638</v>
      </c>
      <c r="J77" s="6" t="s">
        <v>1638</v>
      </c>
      <c r="K77" s="7">
        <v>35640</v>
      </c>
      <c r="L77" s="6" t="s">
        <v>1638</v>
      </c>
      <c r="M77">
        <v>2</v>
      </c>
      <c r="N77">
        <v>9</v>
      </c>
      <c r="O77" s="6" t="s">
        <v>1638</v>
      </c>
      <c r="P77" s="6" t="s">
        <v>1638</v>
      </c>
      <c r="Q77" s="6" t="s">
        <v>1638</v>
      </c>
      <c r="R77" s="6" t="s">
        <v>1638</v>
      </c>
      <c r="S77" s="6" t="s">
        <v>1638</v>
      </c>
      <c r="T77" s="6" t="s">
        <v>1638</v>
      </c>
      <c r="U77" s="6" t="s">
        <v>1638</v>
      </c>
      <c r="V77" s="6" t="s">
        <v>1638</v>
      </c>
      <c r="W77" s="6" t="s">
        <v>1640</v>
      </c>
      <c r="X77" s="7">
        <v>45930</v>
      </c>
      <c r="Y77">
        <v>0</v>
      </c>
      <c r="Z77" s="6" t="s">
        <v>1638</v>
      </c>
      <c r="AA77" s="6">
        <f>IFERROR(VLOOKUP(B77,BD_Clez_Premigracion!C:C,1,FALSE),"No encontrado")</f>
        <v>1096245956</v>
      </c>
    </row>
    <row r="78" spans="1:27" x14ac:dyDescent="0.25">
      <c r="A78">
        <v>2244</v>
      </c>
      <c r="B78">
        <v>1098804234</v>
      </c>
      <c r="C78">
        <v>1</v>
      </c>
      <c r="D78" s="6" t="s">
        <v>1878</v>
      </c>
      <c r="E78" s="6" t="s">
        <v>1879</v>
      </c>
      <c r="F78">
        <v>3172442099</v>
      </c>
      <c r="G78" s="6" t="s">
        <v>1220</v>
      </c>
      <c r="H78" s="6" t="s">
        <v>1638</v>
      </c>
      <c r="I78" s="6" t="s">
        <v>1638</v>
      </c>
      <c r="J78" s="6" t="s">
        <v>1638</v>
      </c>
      <c r="K78" s="7">
        <v>35832</v>
      </c>
      <c r="L78" s="6" t="s">
        <v>1638</v>
      </c>
      <c r="M78">
        <v>1</v>
      </c>
      <c r="N78">
        <v>9</v>
      </c>
      <c r="O78" s="6" t="s">
        <v>1638</v>
      </c>
      <c r="P78" s="6" t="s">
        <v>1638</v>
      </c>
      <c r="Q78" s="6" t="s">
        <v>1638</v>
      </c>
      <c r="R78" s="6" t="s">
        <v>1638</v>
      </c>
      <c r="S78" s="6" t="s">
        <v>1638</v>
      </c>
      <c r="T78" s="6" t="s">
        <v>1638</v>
      </c>
      <c r="U78" s="6" t="s">
        <v>1638</v>
      </c>
      <c r="V78" s="6" t="s">
        <v>1638</v>
      </c>
      <c r="W78" s="6" t="s">
        <v>1640</v>
      </c>
      <c r="X78" s="7">
        <v>45930</v>
      </c>
      <c r="Y78">
        <v>0</v>
      </c>
      <c r="Z78" s="6" t="s">
        <v>1638</v>
      </c>
      <c r="AA78" s="6">
        <f>IFERROR(VLOOKUP(B78,BD_Clez_Premigracion!C:C,1,FALSE),"No encontrado")</f>
        <v>1098804234</v>
      </c>
    </row>
    <row r="79" spans="1:27" x14ac:dyDescent="0.25">
      <c r="A79">
        <v>2245</v>
      </c>
      <c r="B79">
        <v>1005235289</v>
      </c>
      <c r="C79">
        <v>1</v>
      </c>
      <c r="D79" s="6" t="s">
        <v>1880</v>
      </c>
      <c r="E79" s="6" t="s">
        <v>1881</v>
      </c>
      <c r="F79">
        <v>3204542318</v>
      </c>
      <c r="G79" s="6" t="s">
        <v>1224</v>
      </c>
      <c r="H79" s="6" t="s">
        <v>1638</v>
      </c>
      <c r="I79" s="6" t="s">
        <v>1638</v>
      </c>
      <c r="J79" s="6" t="s">
        <v>1638</v>
      </c>
      <c r="K79" s="7">
        <v>37174</v>
      </c>
      <c r="L79" s="6" t="s">
        <v>1638</v>
      </c>
      <c r="M79">
        <v>1</v>
      </c>
      <c r="N79">
        <v>5</v>
      </c>
      <c r="O79" s="6" t="s">
        <v>1638</v>
      </c>
      <c r="P79" s="6" t="s">
        <v>1638</v>
      </c>
      <c r="Q79" s="6" t="s">
        <v>1638</v>
      </c>
      <c r="R79" s="6" t="s">
        <v>1638</v>
      </c>
      <c r="S79" s="6" t="s">
        <v>1638</v>
      </c>
      <c r="T79" s="6" t="s">
        <v>1638</v>
      </c>
      <c r="U79" s="6" t="s">
        <v>1638</v>
      </c>
      <c r="V79" s="6" t="s">
        <v>1638</v>
      </c>
      <c r="W79" s="6" t="s">
        <v>1640</v>
      </c>
      <c r="X79" s="7">
        <v>45930</v>
      </c>
      <c r="Y79">
        <v>0</v>
      </c>
      <c r="Z79" s="6" t="s">
        <v>1638</v>
      </c>
      <c r="AA79" s="6">
        <f>IFERROR(VLOOKUP(B79,BD_Clez_Premigracion!C:C,1,FALSE),"No encontrado")</f>
        <v>1005235289</v>
      </c>
    </row>
    <row r="80" spans="1:27" x14ac:dyDescent="0.25">
      <c r="A80">
        <v>2248</v>
      </c>
      <c r="B80">
        <v>1091355396</v>
      </c>
      <c r="C80">
        <v>1</v>
      </c>
      <c r="D80" s="6" t="s">
        <v>1882</v>
      </c>
      <c r="E80" s="6" t="s">
        <v>1883</v>
      </c>
      <c r="F80">
        <v>3105818717</v>
      </c>
      <c r="G80" s="6" t="s">
        <v>1884</v>
      </c>
      <c r="H80" s="6" t="s">
        <v>1638</v>
      </c>
      <c r="I80" s="6" t="s">
        <v>1638</v>
      </c>
      <c r="J80" s="6" t="s">
        <v>1638</v>
      </c>
      <c r="K80" s="7">
        <v>38533</v>
      </c>
      <c r="L80" s="6" t="s">
        <v>1638</v>
      </c>
      <c r="M80">
        <v>2</v>
      </c>
      <c r="N80">
        <v>6</v>
      </c>
      <c r="O80" s="6" t="s">
        <v>1638</v>
      </c>
      <c r="P80" s="6" t="s">
        <v>1638</v>
      </c>
      <c r="Q80" s="6" t="s">
        <v>1638</v>
      </c>
      <c r="R80" s="6" t="s">
        <v>1638</v>
      </c>
      <c r="S80" s="6" t="s">
        <v>1638</v>
      </c>
      <c r="T80" s="6" t="s">
        <v>1638</v>
      </c>
      <c r="U80" s="6" t="s">
        <v>1638</v>
      </c>
      <c r="V80" s="6" t="s">
        <v>1638</v>
      </c>
      <c r="W80" s="6" t="s">
        <v>1640</v>
      </c>
      <c r="X80" s="7">
        <v>45930</v>
      </c>
      <c r="Y80">
        <v>0</v>
      </c>
      <c r="Z80" s="6" t="s">
        <v>1638</v>
      </c>
      <c r="AA80" s="6">
        <f>IFERROR(VLOOKUP(B80,BD_Clez_Premigracion!C:C,1,FALSE),"No encontrado")</f>
        <v>1091355396</v>
      </c>
    </row>
    <row r="81" spans="1:27" x14ac:dyDescent="0.25">
      <c r="A81">
        <v>2249</v>
      </c>
      <c r="B81">
        <v>80870963</v>
      </c>
      <c r="C81">
        <v>1</v>
      </c>
      <c r="D81" s="6" t="s">
        <v>1885</v>
      </c>
      <c r="E81" s="6" t="s">
        <v>1886</v>
      </c>
      <c r="F81">
        <v>3157532158</v>
      </c>
      <c r="G81" s="6" t="s">
        <v>1300</v>
      </c>
      <c r="H81" s="6" t="s">
        <v>1638</v>
      </c>
      <c r="I81" s="6" t="s">
        <v>1638</v>
      </c>
      <c r="J81" s="6" t="s">
        <v>1638</v>
      </c>
      <c r="K81" s="7">
        <v>30971</v>
      </c>
      <c r="L81" s="6" t="s">
        <v>1638</v>
      </c>
      <c r="M81">
        <v>1</v>
      </c>
      <c r="N81">
        <v>4</v>
      </c>
      <c r="O81" s="6" t="s">
        <v>1638</v>
      </c>
      <c r="P81" s="6" t="s">
        <v>1638</v>
      </c>
      <c r="Q81" s="6" t="s">
        <v>1638</v>
      </c>
      <c r="R81" s="6" t="s">
        <v>1638</v>
      </c>
      <c r="S81" s="6" t="s">
        <v>1638</v>
      </c>
      <c r="T81" s="6" t="s">
        <v>1638</v>
      </c>
      <c r="U81" s="6" t="s">
        <v>1638</v>
      </c>
      <c r="V81" s="6" t="s">
        <v>1638</v>
      </c>
      <c r="W81" s="6" t="s">
        <v>1640</v>
      </c>
      <c r="X81" s="7">
        <v>45930</v>
      </c>
      <c r="Y81">
        <v>0</v>
      </c>
      <c r="Z81" s="6" t="s">
        <v>1638</v>
      </c>
      <c r="AA81" s="6">
        <f>IFERROR(VLOOKUP(B81,BD_Clez_Premigracion!C:C,1,FALSE),"No encontrado")</f>
        <v>80870963</v>
      </c>
    </row>
    <row r="82" spans="1:27" x14ac:dyDescent="0.25">
      <c r="A82">
        <v>2253</v>
      </c>
      <c r="B82">
        <v>1007355147</v>
      </c>
      <c r="C82">
        <v>1</v>
      </c>
      <c r="D82" s="6" t="s">
        <v>1887</v>
      </c>
      <c r="E82" s="6" t="s">
        <v>1888</v>
      </c>
      <c r="F82">
        <v>3249070072</v>
      </c>
      <c r="G82" s="6" t="s">
        <v>1343</v>
      </c>
      <c r="H82" s="6" t="s">
        <v>1638</v>
      </c>
      <c r="I82" s="6" t="s">
        <v>1638</v>
      </c>
      <c r="J82" s="6" t="s">
        <v>1638</v>
      </c>
      <c r="K82" s="7">
        <v>36730</v>
      </c>
      <c r="L82" s="6" t="s">
        <v>1638</v>
      </c>
      <c r="M82">
        <v>1</v>
      </c>
      <c r="N82">
        <v>5</v>
      </c>
      <c r="O82" s="6" t="s">
        <v>1638</v>
      </c>
      <c r="P82" s="6" t="s">
        <v>1638</v>
      </c>
      <c r="Q82" s="6" t="s">
        <v>1638</v>
      </c>
      <c r="R82" s="6" t="s">
        <v>1638</v>
      </c>
      <c r="S82" s="6" t="s">
        <v>1638</v>
      </c>
      <c r="T82" s="6" t="s">
        <v>1638</v>
      </c>
      <c r="U82" s="6" t="s">
        <v>1638</v>
      </c>
      <c r="V82" s="6" t="s">
        <v>1638</v>
      </c>
      <c r="W82" s="6" t="s">
        <v>1640</v>
      </c>
      <c r="X82" s="7">
        <v>45930</v>
      </c>
      <c r="Y82">
        <v>0</v>
      </c>
      <c r="Z82" s="6" t="s">
        <v>1638</v>
      </c>
      <c r="AA82" s="6">
        <f>IFERROR(VLOOKUP(B82,BD_Clez_Premigracion!C:C,1,FALSE),"No encontrado")</f>
        <v>1007355147</v>
      </c>
    </row>
    <row r="83" spans="1:27" x14ac:dyDescent="0.25">
      <c r="A83">
        <v>2254</v>
      </c>
      <c r="B83">
        <v>1005235566</v>
      </c>
      <c r="C83">
        <v>1</v>
      </c>
      <c r="D83" s="6" t="s">
        <v>1889</v>
      </c>
      <c r="E83" s="6" t="s">
        <v>1890</v>
      </c>
      <c r="F83">
        <v>3103168140</v>
      </c>
      <c r="G83" s="6" t="s">
        <v>1891</v>
      </c>
      <c r="H83" s="6" t="s">
        <v>1638</v>
      </c>
      <c r="I83" s="6" t="s">
        <v>1638</v>
      </c>
      <c r="J83" s="6" t="s">
        <v>1638</v>
      </c>
      <c r="K83" s="7">
        <v>37237</v>
      </c>
      <c r="L83" s="6" t="s">
        <v>1638</v>
      </c>
      <c r="M83">
        <v>2</v>
      </c>
      <c r="N83">
        <v>5</v>
      </c>
      <c r="O83" s="6" t="s">
        <v>1638</v>
      </c>
      <c r="P83" s="6" t="s">
        <v>1638</v>
      </c>
      <c r="Q83" s="6" t="s">
        <v>1638</v>
      </c>
      <c r="R83" s="6" t="s">
        <v>1638</v>
      </c>
      <c r="S83" s="6" t="s">
        <v>1638</v>
      </c>
      <c r="T83" s="6" t="s">
        <v>1638</v>
      </c>
      <c r="U83" s="6" t="s">
        <v>1638</v>
      </c>
      <c r="V83" s="6" t="s">
        <v>1638</v>
      </c>
      <c r="W83" s="6" t="s">
        <v>1640</v>
      </c>
      <c r="X83" s="7">
        <v>45930</v>
      </c>
      <c r="Y83">
        <v>0</v>
      </c>
      <c r="Z83" s="6" t="s">
        <v>1638</v>
      </c>
      <c r="AA83" s="6">
        <f>IFERROR(VLOOKUP(B83,BD_Clez_Premigracion!C:C,1,FALSE),"No encontrado")</f>
        <v>1005235566</v>
      </c>
    </row>
    <row r="84" spans="1:27" x14ac:dyDescent="0.25">
      <c r="A84">
        <v>2250</v>
      </c>
      <c r="B84">
        <v>1076666956</v>
      </c>
      <c r="C84">
        <v>1</v>
      </c>
      <c r="D84" s="6" t="s">
        <v>1892</v>
      </c>
      <c r="E84" s="6" t="s">
        <v>1893</v>
      </c>
      <c r="F84">
        <v>3204782802</v>
      </c>
      <c r="G84" s="6" t="s">
        <v>1269</v>
      </c>
      <c r="H84" s="6" t="s">
        <v>1638</v>
      </c>
      <c r="I84" s="6" t="s">
        <v>1638</v>
      </c>
      <c r="J84" s="6" t="s">
        <v>1638</v>
      </c>
      <c r="K84" s="7">
        <v>35753</v>
      </c>
      <c r="L84" s="6" t="s">
        <v>1638</v>
      </c>
      <c r="M84">
        <v>1</v>
      </c>
      <c r="N84">
        <v>6</v>
      </c>
      <c r="O84" s="6" t="s">
        <v>1638</v>
      </c>
      <c r="P84" s="6" t="s">
        <v>1638</v>
      </c>
      <c r="Q84" s="6" t="s">
        <v>1638</v>
      </c>
      <c r="R84" s="6" t="s">
        <v>1638</v>
      </c>
      <c r="S84" s="6" t="s">
        <v>1638</v>
      </c>
      <c r="T84" s="6" t="s">
        <v>1638</v>
      </c>
      <c r="U84" s="6" t="s">
        <v>1638</v>
      </c>
      <c r="V84" s="6" t="s">
        <v>1638</v>
      </c>
      <c r="W84" s="6" t="s">
        <v>1640</v>
      </c>
      <c r="X84" s="7">
        <v>45930</v>
      </c>
      <c r="Y84">
        <v>0</v>
      </c>
      <c r="Z84" s="6" t="s">
        <v>1638</v>
      </c>
      <c r="AA84" s="6">
        <f>IFERROR(VLOOKUP(B84,BD_Clez_Premigracion!C:C,1,FALSE),"No encontrado")</f>
        <v>1076666956</v>
      </c>
    </row>
    <row r="85" spans="1:27" x14ac:dyDescent="0.25">
      <c r="A85">
        <v>2242</v>
      </c>
      <c r="B85">
        <v>1005282516</v>
      </c>
      <c r="C85">
        <v>1</v>
      </c>
      <c r="D85" s="6" t="s">
        <v>1894</v>
      </c>
      <c r="E85" s="6" t="s">
        <v>1895</v>
      </c>
      <c r="F85">
        <v>3163220791</v>
      </c>
      <c r="G85" s="6" t="s">
        <v>1291</v>
      </c>
      <c r="H85" s="6" t="s">
        <v>1638</v>
      </c>
      <c r="I85" s="6" t="s">
        <v>1896</v>
      </c>
      <c r="J85" s="6" t="s">
        <v>1638</v>
      </c>
      <c r="K85" s="7">
        <v>37873</v>
      </c>
      <c r="L85" s="6" t="s">
        <v>1638</v>
      </c>
      <c r="M85">
        <v>2</v>
      </c>
      <c r="N85">
        <v>3</v>
      </c>
      <c r="O85" s="6" t="s">
        <v>1638</v>
      </c>
      <c r="P85" s="6" t="s">
        <v>1638</v>
      </c>
      <c r="Q85" s="6" t="s">
        <v>1638</v>
      </c>
      <c r="R85" s="6" t="s">
        <v>1897</v>
      </c>
      <c r="S85" s="6" t="s">
        <v>1898</v>
      </c>
      <c r="T85" s="6" t="s">
        <v>1721</v>
      </c>
      <c r="U85" s="6" t="s">
        <v>1899</v>
      </c>
      <c r="V85" s="6" t="s">
        <v>1638</v>
      </c>
      <c r="W85" s="6" t="s">
        <v>35</v>
      </c>
      <c r="X85" s="7">
        <v>45930</v>
      </c>
      <c r="Y85">
        <v>0</v>
      </c>
      <c r="Z85" s="6" t="s">
        <v>1709</v>
      </c>
      <c r="AA85" s="6">
        <f>IFERROR(VLOOKUP(B85,BD_Clez_Premigracion!C:C,1,FALSE),"No encontrado")</f>
        <v>1005282516</v>
      </c>
    </row>
    <row r="86" spans="1:27" x14ac:dyDescent="0.25">
      <c r="A86">
        <v>2255</v>
      </c>
      <c r="B86">
        <v>32175631</v>
      </c>
      <c r="C86">
        <v>2</v>
      </c>
      <c r="D86" s="6" t="s">
        <v>1900</v>
      </c>
      <c r="E86" s="6" t="s">
        <v>1901</v>
      </c>
      <c r="F86">
        <v>3166370293</v>
      </c>
      <c r="G86" s="6" t="s">
        <v>1902</v>
      </c>
      <c r="H86" s="6" t="s">
        <v>1638</v>
      </c>
      <c r="I86" s="6" t="s">
        <v>1638</v>
      </c>
      <c r="J86" s="6" t="s">
        <v>1638</v>
      </c>
      <c r="K86" s="7">
        <v>38602</v>
      </c>
      <c r="L86" s="6" t="s">
        <v>1638</v>
      </c>
      <c r="M86">
        <v>1</v>
      </c>
      <c r="N86">
        <v>10</v>
      </c>
      <c r="O86" s="6" t="s">
        <v>1638</v>
      </c>
      <c r="P86" s="6" t="s">
        <v>1638</v>
      </c>
      <c r="Q86" s="6" t="s">
        <v>1638</v>
      </c>
      <c r="R86" s="6" t="s">
        <v>1638</v>
      </c>
      <c r="S86" s="6" t="s">
        <v>1638</v>
      </c>
      <c r="T86" s="6" t="s">
        <v>1638</v>
      </c>
      <c r="U86" s="6" t="s">
        <v>1638</v>
      </c>
      <c r="V86" s="6" t="s">
        <v>1638</v>
      </c>
      <c r="W86" s="6" t="s">
        <v>1640</v>
      </c>
      <c r="X86" s="7">
        <v>45930</v>
      </c>
      <c r="Y86">
        <v>0</v>
      </c>
      <c r="Z86" s="6" t="s">
        <v>1638</v>
      </c>
      <c r="AA86" s="6" t="str">
        <f>IFERROR(VLOOKUP(B86,BD_Clez_Premigracion!C:C,1,FALSE),"No encontrado")</f>
        <v>No encontrado</v>
      </c>
    </row>
    <row r="87" spans="1:27" x14ac:dyDescent="0.25">
      <c r="A87">
        <v>2256</v>
      </c>
      <c r="B87">
        <v>1098073585</v>
      </c>
      <c r="C87">
        <v>3</v>
      </c>
      <c r="D87" s="6" t="s">
        <v>1903</v>
      </c>
      <c r="E87" s="6" t="s">
        <v>1904</v>
      </c>
      <c r="F87">
        <v>3108897521</v>
      </c>
      <c r="G87" s="6" t="s">
        <v>1905</v>
      </c>
      <c r="H87" s="6" t="s">
        <v>1638</v>
      </c>
      <c r="I87" s="6" t="s">
        <v>1906</v>
      </c>
      <c r="J87" s="6" t="s">
        <v>1638</v>
      </c>
      <c r="K87" s="7">
        <v>39550</v>
      </c>
      <c r="L87" s="6" t="s">
        <v>1638</v>
      </c>
      <c r="M87">
        <v>2</v>
      </c>
      <c r="N87">
        <v>5</v>
      </c>
      <c r="O87" s="6" t="s">
        <v>1638</v>
      </c>
      <c r="P87" s="6" t="s">
        <v>1638</v>
      </c>
      <c r="Q87" s="6" t="s">
        <v>1638</v>
      </c>
      <c r="R87" s="6" t="s">
        <v>1848</v>
      </c>
      <c r="S87" s="6" t="s">
        <v>1907</v>
      </c>
      <c r="T87" s="6" t="s">
        <v>1721</v>
      </c>
      <c r="U87" s="6" t="s">
        <v>1908</v>
      </c>
      <c r="V87" s="6" t="s">
        <v>1638</v>
      </c>
      <c r="W87" s="6" t="s">
        <v>35</v>
      </c>
      <c r="X87" s="7">
        <v>45930</v>
      </c>
      <c r="Y87">
        <v>0</v>
      </c>
      <c r="Z87" s="6" t="s">
        <v>1709</v>
      </c>
      <c r="AA87" s="6" t="str">
        <f>IFERROR(VLOOKUP(B87,BD_Clez_Premigracion!C:C,1,FALSE),"No encontrado")</f>
        <v>No encontrado</v>
      </c>
    </row>
    <row r="88" spans="1:27" x14ac:dyDescent="0.25">
      <c r="A88">
        <v>2257</v>
      </c>
      <c r="B88">
        <v>1098610967</v>
      </c>
      <c r="C88">
        <v>1</v>
      </c>
      <c r="D88" s="6" t="s">
        <v>1909</v>
      </c>
      <c r="E88" s="6" t="s">
        <v>1910</v>
      </c>
      <c r="F88">
        <v>3177383838</v>
      </c>
      <c r="G88" s="6" t="s">
        <v>1911</v>
      </c>
      <c r="H88" s="6" t="s">
        <v>1638</v>
      </c>
      <c r="I88" s="6" t="s">
        <v>1638</v>
      </c>
      <c r="J88" s="6" t="s">
        <v>1638</v>
      </c>
      <c r="K88" s="7">
        <v>31196</v>
      </c>
      <c r="L88" s="6" t="s">
        <v>1638</v>
      </c>
      <c r="M88">
        <v>1</v>
      </c>
      <c r="N88">
        <v>2</v>
      </c>
      <c r="O88" s="6" t="s">
        <v>1638</v>
      </c>
      <c r="P88" s="6" t="s">
        <v>1638</v>
      </c>
      <c r="Q88" s="6" t="s">
        <v>1638</v>
      </c>
      <c r="R88" s="6" t="s">
        <v>1638</v>
      </c>
      <c r="S88" s="6" t="s">
        <v>1638</v>
      </c>
      <c r="T88" s="6" t="s">
        <v>1638</v>
      </c>
      <c r="U88" s="6" t="s">
        <v>1638</v>
      </c>
      <c r="V88" s="6" t="s">
        <v>1638</v>
      </c>
      <c r="W88" s="6" t="s">
        <v>1640</v>
      </c>
      <c r="X88" s="7">
        <v>45930</v>
      </c>
      <c r="Y88">
        <v>0</v>
      </c>
      <c r="Z88" s="6" t="s">
        <v>1638</v>
      </c>
      <c r="AA88" s="6" t="str">
        <f>IFERROR(VLOOKUP(B88,BD_Clez_Premigracion!C:C,1,FALSE),"No encontrado")</f>
        <v>No encontrado</v>
      </c>
    </row>
    <row r="89" spans="1:27" x14ac:dyDescent="0.25">
      <c r="A89">
        <v>2258</v>
      </c>
      <c r="B89">
        <v>1098810614</v>
      </c>
      <c r="C89">
        <v>1</v>
      </c>
      <c r="D89" s="6" t="s">
        <v>1912</v>
      </c>
      <c r="E89" s="6" t="s">
        <v>1913</v>
      </c>
      <c r="F89">
        <v>3158013119</v>
      </c>
      <c r="G89" s="6" t="s">
        <v>1478</v>
      </c>
      <c r="H89" s="6" t="s">
        <v>1638</v>
      </c>
      <c r="I89" s="6" t="s">
        <v>1638</v>
      </c>
      <c r="J89" s="6" t="s">
        <v>1638</v>
      </c>
      <c r="K89" s="7">
        <v>35990</v>
      </c>
      <c r="L89" s="6" t="s">
        <v>1638</v>
      </c>
      <c r="M89">
        <v>1</v>
      </c>
      <c r="N89">
        <v>8</v>
      </c>
      <c r="O89" s="6" t="s">
        <v>1638</v>
      </c>
      <c r="P89" s="6" t="s">
        <v>1638</v>
      </c>
      <c r="Q89" s="6" t="s">
        <v>1638</v>
      </c>
      <c r="R89" s="6" t="s">
        <v>1638</v>
      </c>
      <c r="S89" s="6" t="s">
        <v>1638</v>
      </c>
      <c r="T89" s="6" t="s">
        <v>1638</v>
      </c>
      <c r="U89" s="6" t="s">
        <v>1638</v>
      </c>
      <c r="V89" s="6" t="s">
        <v>1638</v>
      </c>
      <c r="W89" s="6" t="s">
        <v>1640</v>
      </c>
      <c r="X89" s="7">
        <v>45930</v>
      </c>
      <c r="Y89">
        <v>0</v>
      </c>
      <c r="Z89" s="6" t="s">
        <v>1638</v>
      </c>
      <c r="AA89" s="6">
        <f>IFERROR(VLOOKUP(B89,BD_Clez_Premigracion!C:C,1,FALSE),"No encontrado")</f>
        <v>1098810614</v>
      </c>
    </row>
    <row r="90" spans="1:27" x14ac:dyDescent="0.25">
      <c r="A90">
        <v>2259</v>
      </c>
      <c r="B90">
        <v>1095790451</v>
      </c>
      <c r="C90">
        <v>1</v>
      </c>
      <c r="D90" s="6" t="s">
        <v>1914</v>
      </c>
      <c r="E90" s="6" t="s">
        <v>1915</v>
      </c>
      <c r="F90">
        <v>3108756354</v>
      </c>
      <c r="G90" s="6" t="s">
        <v>1258</v>
      </c>
      <c r="H90" s="6" t="s">
        <v>1638</v>
      </c>
      <c r="I90" s="6" t="s">
        <v>1638</v>
      </c>
      <c r="J90" s="6" t="s">
        <v>1638</v>
      </c>
      <c r="K90" s="7">
        <v>38332</v>
      </c>
      <c r="L90" s="6" t="s">
        <v>1638</v>
      </c>
      <c r="M90">
        <v>2</v>
      </c>
      <c r="N90">
        <v>2</v>
      </c>
      <c r="O90" s="6" t="s">
        <v>1638</v>
      </c>
      <c r="P90" s="6" t="s">
        <v>1638</v>
      </c>
      <c r="Q90" s="6" t="s">
        <v>1638</v>
      </c>
      <c r="R90" s="6" t="s">
        <v>1638</v>
      </c>
      <c r="S90" s="6" t="s">
        <v>1638</v>
      </c>
      <c r="T90" s="6" t="s">
        <v>1638</v>
      </c>
      <c r="U90" s="6" t="s">
        <v>1638</v>
      </c>
      <c r="V90" s="6" t="s">
        <v>1638</v>
      </c>
      <c r="W90" s="6" t="s">
        <v>1640</v>
      </c>
      <c r="X90" s="7">
        <v>45930</v>
      </c>
      <c r="Y90">
        <v>0</v>
      </c>
      <c r="Z90" s="6" t="s">
        <v>1638</v>
      </c>
      <c r="AA90" s="6" t="str">
        <f>IFERROR(VLOOKUP(B90,BD_Clez_Premigracion!C:C,1,FALSE),"No encontrado")</f>
        <v>No encontrado</v>
      </c>
    </row>
    <row r="91" spans="1:27" x14ac:dyDescent="0.25">
      <c r="A91">
        <v>2261</v>
      </c>
      <c r="B91">
        <v>1098625892</v>
      </c>
      <c r="C91">
        <v>1</v>
      </c>
      <c r="D91" s="6" t="s">
        <v>1916</v>
      </c>
      <c r="E91" s="6" t="s">
        <v>1917</v>
      </c>
      <c r="F91">
        <v>3153740663</v>
      </c>
      <c r="G91" s="6" t="s">
        <v>1918</v>
      </c>
      <c r="H91" s="6" t="s">
        <v>1638</v>
      </c>
      <c r="I91" s="6" t="s">
        <v>1638</v>
      </c>
      <c r="J91" s="6" t="s">
        <v>1638</v>
      </c>
      <c r="K91" s="7">
        <v>38322</v>
      </c>
      <c r="L91" s="6" t="s">
        <v>1638</v>
      </c>
      <c r="M91">
        <v>2</v>
      </c>
      <c r="N91">
        <v>10</v>
      </c>
      <c r="O91" s="6" t="s">
        <v>1638</v>
      </c>
      <c r="P91" s="6" t="s">
        <v>1638</v>
      </c>
      <c r="Q91" s="6" t="s">
        <v>1638</v>
      </c>
      <c r="R91" s="6" t="s">
        <v>1638</v>
      </c>
      <c r="S91" s="6" t="s">
        <v>1638</v>
      </c>
      <c r="T91" s="6" t="s">
        <v>1638</v>
      </c>
      <c r="U91" s="6" t="s">
        <v>1638</v>
      </c>
      <c r="V91" s="6" t="s">
        <v>1638</v>
      </c>
      <c r="W91" s="6" t="s">
        <v>1640</v>
      </c>
      <c r="X91" s="7">
        <v>45930</v>
      </c>
      <c r="Y91">
        <v>0</v>
      </c>
      <c r="Z91" s="6" t="s">
        <v>1638</v>
      </c>
      <c r="AA91" s="6" t="str">
        <f>IFERROR(VLOOKUP(B91,BD_Clez_Premigracion!C:C,1,FALSE),"No encontrado")</f>
        <v>No encontrado</v>
      </c>
    </row>
    <row r="92" spans="1:27" x14ac:dyDescent="0.25">
      <c r="A92">
        <v>2264</v>
      </c>
      <c r="B92">
        <v>1090475652</v>
      </c>
      <c r="C92">
        <v>1</v>
      </c>
      <c r="D92" s="6" t="s">
        <v>1919</v>
      </c>
      <c r="E92" s="6" t="s">
        <v>1920</v>
      </c>
      <c r="F92">
        <v>3022944427</v>
      </c>
      <c r="G92" s="6" t="s">
        <v>1921</v>
      </c>
      <c r="H92" s="6" t="s">
        <v>1638</v>
      </c>
      <c r="I92" s="6" t="s">
        <v>1922</v>
      </c>
      <c r="J92" s="6" t="s">
        <v>1638</v>
      </c>
      <c r="K92" s="7">
        <v>34314</v>
      </c>
      <c r="L92" s="6" t="s">
        <v>1638</v>
      </c>
      <c r="M92">
        <v>1</v>
      </c>
      <c r="N92">
        <v>6</v>
      </c>
      <c r="O92" s="6" t="s">
        <v>1638</v>
      </c>
      <c r="P92" s="6" t="s">
        <v>1638</v>
      </c>
      <c r="Q92" s="6" t="s">
        <v>1638</v>
      </c>
      <c r="R92" s="6" t="s">
        <v>1663</v>
      </c>
      <c r="S92" s="6" t="s">
        <v>1923</v>
      </c>
      <c r="T92" s="6" t="s">
        <v>1721</v>
      </c>
      <c r="U92" s="6" t="s">
        <v>1924</v>
      </c>
      <c r="V92" s="6" t="s">
        <v>1638</v>
      </c>
      <c r="W92" s="6" t="s">
        <v>35</v>
      </c>
      <c r="X92" s="7">
        <v>45931</v>
      </c>
      <c r="Y92">
        <v>0</v>
      </c>
      <c r="Z92" s="6" t="s">
        <v>1709</v>
      </c>
      <c r="AA92" s="6" t="str">
        <f>IFERROR(VLOOKUP(B92,BD_Clez_Premigracion!C:C,1,FALSE),"No encontrado")</f>
        <v>No encontrado</v>
      </c>
    </row>
    <row r="93" spans="1:27" x14ac:dyDescent="0.25">
      <c r="A93">
        <v>2247</v>
      </c>
      <c r="B93">
        <v>1098816206</v>
      </c>
      <c r="C93">
        <v>1</v>
      </c>
      <c r="D93" s="6" t="s">
        <v>1925</v>
      </c>
      <c r="E93" s="6" t="s">
        <v>1926</v>
      </c>
      <c r="F93">
        <v>3143619122</v>
      </c>
      <c r="G93" s="6" t="s">
        <v>1367</v>
      </c>
      <c r="H93" s="6" t="s">
        <v>1638</v>
      </c>
      <c r="I93" s="6" t="s">
        <v>1638</v>
      </c>
      <c r="J93" s="6" t="s">
        <v>1638</v>
      </c>
      <c r="K93" s="7">
        <v>36203</v>
      </c>
      <c r="L93" s="6" t="s">
        <v>1638</v>
      </c>
      <c r="M93">
        <v>1</v>
      </c>
      <c r="N93">
        <v>1</v>
      </c>
      <c r="O93" s="6" t="s">
        <v>1638</v>
      </c>
      <c r="P93" s="6" t="s">
        <v>1638</v>
      </c>
      <c r="Q93" s="6" t="s">
        <v>1638</v>
      </c>
      <c r="R93" s="6" t="s">
        <v>1638</v>
      </c>
      <c r="S93" s="6" t="s">
        <v>1638</v>
      </c>
      <c r="T93" s="6" t="s">
        <v>1638</v>
      </c>
      <c r="U93" s="6" t="s">
        <v>1638</v>
      </c>
      <c r="V93" s="6" t="s">
        <v>1638</v>
      </c>
      <c r="W93" s="6" t="s">
        <v>1640</v>
      </c>
      <c r="X93" s="7">
        <v>45930</v>
      </c>
      <c r="Y93">
        <v>0</v>
      </c>
      <c r="Z93" s="6" t="s">
        <v>1638</v>
      </c>
      <c r="AA93" s="6">
        <f>IFERROR(VLOOKUP(B93,BD_Clez_Premigracion!C:C,1,FALSE),"No encontrado")</f>
        <v>1098816206</v>
      </c>
    </row>
    <row r="94" spans="1:27" x14ac:dyDescent="0.25">
      <c r="A94">
        <v>2262</v>
      </c>
      <c r="B94">
        <v>1019075573</v>
      </c>
      <c r="C94">
        <v>1</v>
      </c>
      <c r="D94" s="6" t="s">
        <v>1927</v>
      </c>
      <c r="E94" s="6" t="s">
        <v>1928</v>
      </c>
      <c r="F94">
        <v>3115976380</v>
      </c>
      <c r="G94" s="6" t="s">
        <v>1320</v>
      </c>
      <c r="H94" s="6" t="s">
        <v>1638</v>
      </c>
      <c r="I94" s="6" t="s">
        <v>1638</v>
      </c>
      <c r="J94" s="6" t="s">
        <v>1638</v>
      </c>
      <c r="K94" s="7">
        <v>33867</v>
      </c>
      <c r="L94" s="6" t="s">
        <v>1638</v>
      </c>
      <c r="M94">
        <v>1</v>
      </c>
      <c r="N94">
        <v>2</v>
      </c>
      <c r="O94" s="6" t="s">
        <v>1638</v>
      </c>
      <c r="P94" s="6" t="s">
        <v>1638</v>
      </c>
      <c r="Q94" s="6" t="s">
        <v>1638</v>
      </c>
      <c r="R94" s="6" t="s">
        <v>1638</v>
      </c>
      <c r="S94" s="6" t="s">
        <v>1638</v>
      </c>
      <c r="T94" s="6" t="s">
        <v>1638</v>
      </c>
      <c r="U94" s="6" t="s">
        <v>1638</v>
      </c>
      <c r="V94" s="6" t="s">
        <v>1638</v>
      </c>
      <c r="W94" s="6" t="s">
        <v>1640</v>
      </c>
      <c r="X94" s="7">
        <v>45930</v>
      </c>
      <c r="Y94">
        <v>0</v>
      </c>
      <c r="Z94" s="6" t="s">
        <v>1638</v>
      </c>
      <c r="AA94" s="6">
        <f>IFERROR(VLOOKUP(B94,BD_Clez_Premigracion!C:C,1,FALSE),"No encontrado")</f>
        <v>1019075573</v>
      </c>
    </row>
    <row r="95" spans="1:27" x14ac:dyDescent="0.25">
      <c r="A95">
        <v>2268</v>
      </c>
      <c r="B95">
        <v>1090398553</v>
      </c>
      <c r="C95">
        <v>1</v>
      </c>
      <c r="D95" s="6" t="s">
        <v>1929</v>
      </c>
      <c r="E95" s="6" t="s">
        <v>1930</v>
      </c>
      <c r="F95">
        <v>3208919270</v>
      </c>
      <c r="G95" s="6" t="s">
        <v>1568</v>
      </c>
      <c r="H95" s="6" t="s">
        <v>1638</v>
      </c>
      <c r="I95" s="6" t="s">
        <v>1638</v>
      </c>
      <c r="J95" s="6" t="s">
        <v>1638</v>
      </c>
      <c r="K95" s="7">
        <v>32473</v>
      </c>
      <c r="L95" s="6" t="s">
        <v>1638</v>
      </c>
      <c r="M95">
        <v>2</v>
      </c>
      <c r="N95">
        <v>6</v>
      </c>
      <c r="O95" s="6" t="s">
        <v>1638</v>
      </c>
      <c r="P95" s="6" t="s">
        <v>1638</v>
      </c>
      <c r="Q95" s="6" t="s">
        <v>1638</v>
      </c>
      <c r="R95" s="6" t="s">
        <v>1638</v>
      </c>
      <c r="S95" s="6" t="s">
        <v>1638</v>
      </c>
      <c r="T95" s="6" t="s">
        <v>1638</v>
      </c>
      <c r="U95" s="6" t="s">
        <v>1638</v>
      </c>
      <c r="V95" s="6" t="s">
        <v>1638</v>
      </c>
      <c r="W95" s="6" t="s">
        <v>1640</v>
      </c>
      <c r="X95" s="7">
        <v>45931</v>
      </c>
      <c r="Y95">
        <v>0</v>
      </c>
      <c r="Z95" s="6" t="s">
        <v>1638</v>
      </c>
      <c r="AA95" s="6">
        <f>IFERROR(VLOOKUP(B95,BD_Clez_Premigracion!C:C,1,FALSE),"No encontrado")</f>
        <v>1090398553</v>
      </c>
    </row>
    <row r="96" spans="1:27" x14ac:dyDescent="0.25">
      <c r="A96">
        <v>2269</v>
      </c>
      <c r="B96">
        <v>1097784450</v>
      </c>
      <c r="C96">
        <v>3</v>
      </c>
      <c r="D96" s="6" t="s">
        <v>1931</v>
      </c>
      <c r="E96" s="6" t="s">
        <v>1932</v>
      </c>
      <c r="F96">
        <v>3153967917</v>
      </c>
      <c r="G96" s="6" t="s">
        <v>1933</v>
      </c>
      <c r="H96" s="6" t="s">
        <v>1638</v>
      </c>
      <c r="I96" s="6" t="s">
        <v>1638</v>
      </c>
      <c r="J96" s="6" t="s">
        <v>1638</v>
      </c>
      <c r="K96" s="7">
        <v>39605</v>
      </c>
      <c r="L96" s="6" t="s">
        <v>1638</v>
      </c>
      <c r="M96">
        <v>1</v>
      </c>
      <c r="N96">
        <v>2</v>
      </c>
      <c r="O96" s="6" t="s">
        <v>1638</v>
      </c>
      <c r="P96" s="6" t="s">
        <v>1638</v>
      </c>
      <c r="Q96" s="6" t="s">
        <v>1638</v>
      </c>
      <c r="R96" s="6" t="s">
        <v>1638</v>
      </c>
      <c r="S96" s="6" t="s">
        <v>1638</v>
      </c>
      <c r="T96" s="6" t="s">
        <v>1638</v>
      </c>
      <c r="U96" s="6" t="s">
        <v>1638</v>
      </c>
      <c r="V96" s="6" t="s">
        <v>1638</v>
      </c>
      <c r="W96" s="6" t="s">
        <v>1640</v>
      </c>
      <c r="X96" s="7">
        <v>45931</v>
      </c>
      <c r="Y96">
        <v>0</v>
      </c>
      <c r="Z96" s="6" t="s">
        <v>1638</v>
      </c>
      <c r="AA96" s="6">
        <f>IFERROR(VLOOKUP(B96,BD_Clez_Premigracion!C:C,1,FALSE),"No encontrado")</f>
        <v>1097784450</v>
      </c>
    </row>
    <row r="97" spans="1:27" x14ac:dyDescent="0.25">
      <c r="A97">
        <v>2270</v>
      </c>
      <c r="B97">
        <v>1193579042</v>
      </c>
      <c r="C97">
        <v>1</v>
      </c>
      <c r="D97" s="6" t="s">
        <v>1934</v>
      </c>
      <c r="E97" s="6" t="s">
        <v>1935</v>
      </c>
      <c r="F97">
        <v>3218745895</v>
      </c>
      <c r="G97" s="6" t="s">
        <v>1936</v>
      </c>
      <c r="H97" s="6" t="s">
        <v>1638</v>
      </c>
      <c r="I97" s="6" t="s">
        <v>1638</v>
      </c>
      <c r="J97" s="6" t="s">
        <v>1638</v>
      </c>
      <c r="K97" s="7">
        <v>37338</v>
      </c>
      <c r="L97" s="6" t="s">
        <v>1638</v>
      </c>
      <c r="M97">
        <v>2</v>
      </c>
      <c r="N97">
        <v>6</v>
      </c>
      <c r="O97" s="6" t="s">
        <v>1638</v>
      </c>
      <c r="P97" s="6" t="s">
        <v>1638</v>
      </c>
      <c r="Q97" s="6" t="s">
        <v>1638</v>
      </c>
      <c r="R97" s="6" t="s">
        <v>1638</v>
      </c>
      <c r="S97" s="6" t="s">
        <v>1638</v>
      </c>
      <c r="T97" s="6" t="s">
        <v>1638</v>
      </c>
      <c r="U97" s="6" t="s">
        <v>1638</v>
      </c>
      <c r="V97" s="6" t="s">
        <v>1638</v>
      </c>
      <c r="W97" s="6" t="s">
        <v>1640</v>
      </c>
      <c r="X97" s="7">
        <v>45931</v>
      </c>
      <c r="Y97">
        <v>0</v>
      </c>
      <c r="Z97" s="6" t="s">
        <v>1638</v>
      </c>
      <c r="AA97" s="6" t="str">
        <f>IFERROR(VLOOKUP(B97,BD_Clez_Premigracion!C:C,1,FALSE),"No encontrado")</f>
        <v>No encontrado</v>
      </c>
    </row>
    <row r="98" spans="1:27" x14ac:dyDescent="0.25">
      <c r="A98">
        <v>2271</v>
      </c>
      <c r="B98">
        <v>1005162538</v>
      </c>
      <c r="C98">
        <v>1</v>
      </c>
      <c r="D98" s="6" t="s">
        <v>1937</v>
      </c>
      <c r="E98" s="6" t="s">
        <v>1938</v>
      </c>
      <c r="F98">
        <v>3160810229</v>
      </c>
      <c r="G98" s="6" t="s">
        <v>1939</v>
      </c>
      <c r="H98" s="6" t="s">
        <v>1638</v>
      </c>
      <c r="I98" s="6" t="s">
        <v>1638</v>
      </c>
      <c r="J98" s="6" t="s">
        <v>1638</v>
      </c>
      <c r="K98" s="7">
        <v>37045</v>
      </c>
      <c r="L98" s="6" t="s">
        <v>1638</v>
      </c>
      <c r="M98">
        <v>1</v>
      </c>
      <c r="N98">
        <v>8</v>
      </c>
      <c r="O98" s="6" t="s">
        <v>1638</v>
      </c>
      <c r="P98" s="6" t="s">
        <v>1638</v>
      </c>
      <c r="Q98" s="6" t="s">
        <v>1638</v>
      </c>
      <c r="R98" s="6" t="s">
        <v>1638</v>
      </c>
      <c r="S98" s="6" t="s">
        <v>1638</v>
      </c>
      <c r="T98" s="6" t="s">
        <v>1638</v>
      </c>
      <c r="U98" s="6" t="s">
        <v>1638</v>
      </c>
      <c r="V98" s="6" t="s">
        <v>1638</v>
      </c>
      <c r="W98" s="6" t="s">
        <v>1640</v>
      </c>
      <c r="X98" s="7">
        <v>45931</v>
      </c>
      <c r="Y98">
        <v>0</v>
      </c>
      <c r="Z98" s="6" t="s">
        <v>1638</v>
      </c>
      <c r="AA98" s="6">
        <f>IFERROR(VLOOKUP(B98,BD_Clez_Premigracion!C:C,1,FALSE),"No encontrado")</f>
        <v>1005162538</v>
      </c>
    </row>
    <row r="99" spans="1:27" x14ac:dyDescent="0.25">
      <c r="A99">
        <v>2272</v>
      </c>
      <c r="B99">
        <v>1005336822</v>
      </c>
      <c r="C99">
        <v>1</v>
      </c>
      <c r="D99" s="6" t="s">
        <v>1940</v>
      </c>
      <c r="E99" s="6" t="s">
        <v>1941</v>
      </c>
      <c r="F99">
        <v>3024908687</v>
      </c>
      <c r="G99" s="6" t="s">
        <v>1942</v>
      </c>
      <c r="H99" s="6" t="s">
        <v>1638</v>
      </c>
      <c r="I99" s="6" t="s">
        <v>1638</v>
      </c>
      <c r="J99" s="6" t="s">
        <v>1638</v>
      </c>
      <c r="K99" s="7">
        <v>36743</v>
      </c>
      <c r="L99" s="6" t="s">
        <v>1638</v>
      </c>
      <c r="M99">
        <v>1</v>
      </c>
      <c r="N99">
        <v>8</v>
      </c>
      <c r="O99" s="6" t="s">
        <v>1638</v>
      </c>
      <c r="P99" s="6" t="s">
        <v>1638</v>
      </c>
      <c r="Q99" s="6" t="s">
        <v>1638</v>
      </c>
      <c r="R99" s="6" t="s">
        <v>1638</v>
      </c>
      <c r="S99" s="6" t="s">
        <v>1638</v>
      </c>
      <c r="T99" s="6" t="s">
        <v>1638</v>
      </c>
      <c r="U99" s="6" t="s">
        <v>1638</v>
      </c>
      <c r="V99" s="6" t="s">
        <v>1638</v>
      </c>
      <c r="W99" s="6" t="s">
        <v>1640</v>
      </c>
      <c r="X99" s="7">
        <v>45931</v>
      </c>
      <c r="Y99">
        <v>0</v>
      </c>
      <c r="Z99" s="6" t="s">
        <v>1638</v>
      </c>
      <c r="AA99" s="6">
        <f>IFERROR(VLOOKUP(B99,BD_Clez_Premigracion!C:C,1,FALSE),"No encontrado")</f>
        <v>1005336822</v>
      </c>
    </row>
    <row r="100" spans="1:27" x14ac:dyDescent="0.25">
      <c r="A100">
        <v>2274</v>
      </c>
      <c r="B100">
        <v>1005261045</v>
      </c>
      <c r="C100">
        <v>1</v>
      </c>
      <c r="D100" s="6" t="s">
        <v>1943</v>
      </c>
      <c r="E100" s="6" t="s">
        <v>1944</v>
      </c>
      <c r="F100">
        <v>3133865540</v>
      </c>
      <c r="G100" s="6" t="s">
        <v>1945</v>
      </c>
      <c r="H100" s="6" t="s">
        <v>1638</v>
      </c>
      <c r="I100" s="6" t="s">
        <v>1638</v>
      </c>
      <c r="J100" s="6" t="s">
        <v>1638</v>
      </c>
      <c r="K100" s="7">
        <v>37865</v>
      </c>
      <c r="L100" s="6" t="s">
        <v>1638</v>
      </c>
      <c r="M100">
        <v>2</v>
      </c>
      <c r="N100">
        <v>8</v>
      </c>
      <c r="O100" s="6" t="s">
        <v>1638</v>
      </c>
      <c r="P100" s="6" t="s">
        <v>1638</v>
      </c>
      <c r="Q100" s="6" t="s">
        <v>1638</v>
      </c>
      <c r="R100" s="6" t="s">
        <v>1638</v>
      </c>
      <c r="S100" s="6" t="s">
        <v>1638</v>
      </c>
      <c r="T100" s="6" t="s">
        <v>1638</v>
      </c>
      <c r="U100" s="6" t="s">
        <v>1638</v>
      </c>
      <c r="V100" s="6" t="s">
        <v>1638</v>
      </c>
      <c r="W100" s="6" t="s">
        <v>1640</v>
      </c>
      <c r="X100" s="7">
        <v>45931</v>
      </c>
      <c r="Y100">
        <v>0</v>
      </c>
      <c r="Z100" s="6" t="s">
        <v>1638</v>
      </c>
      <c r="AA100" s="6">
        <f>IFERROR(VLOOKUP(B100,BD_Clez_Premigracion!C:C,1,FALSE),"No encontrado")</f>
        <v>1005261045</v>
      </c>
    </row>
    <row r="101" spans="1:27" x14ac:dyDescent="0.25">
      <c r="A101">
        <v>2273</v>
      </c>
      <c r="B101">
        <v>1003245545</v>
      </c>
      <c r="C101">
        <v>1</v>
      </c>
      <c r="D101" s="6" t="s">
        <v>1946</v>
      </c>
      <c r="E101" s="6" t="s">
        <v>1947</v>
      </c>
      <c r="F101">
        <v>3152603201</v>
      </c>
      <c r="G101" s="6" t="s">
        <v>1948</v>
      </c>
      <c r="H101" s="6" t="s">
        <v>1638</v>
      </c>
      <c r="I101" s="6" t="s">
        <v>1638</v>
      </c>
      <c r="J101" s="6" t="s">
        <v>1638</v>
      </c>
      <c r="K101" s="7">
        <v>37120</v>
      </c>
      <c r="L101" s="6" t="s">
        <v>1638</v>
      </c>
      <c r="M101">
        <v>2</v>
      </c>
      <c r="N101">
        <v>2</v>
      </c>
      <c r="O101" s="6" t="s">
        <v>1638</v>
      </c>
      <c r="P101" s="6" t="s">
        <v>1638</v>
      </c>
      <c r="Q101" s="6" t="s">
        <v>1638</v>
      </c>
      <c r="R101" s="6" t="s">
        <v>1638</v>
      </c>
      <c r="S101" s="6" t="s">
        <v>1638</v>
      </c>
      <c r="T101" s="6" t="s">
        <v>1638</v>
      </c>
      <c r="U101" s="6" t="s">
        <v>1638</v>
      </c>
      <c r="V101" s="6" t="s">
        <v>1638</v>
      </c>
      <c r="W101" s="6" t="s">
        <v>1640</v>
      </c>
      <c r="X101" s="7">
        <v>45931</v>
      </c>
      <c r="Y101">
        <v>0</v>
      </c>
      <c r="Z101" s="6" t="s">
        <v>1638</v>
      </c>
      <c r="AA101" s="6" t="str">
        <f>IFERROR(VLOOKUP(B101,BD_Clez_Premigracion!C:C,1,FALSE),"No encontrado")</f>
        <v>No encontrado</v>
      </c>
    </row>
    <row r="102" spans="1:27" x14ac:dyDescent="0.25">
      <c r="A102">
        <v>2275</v>
      </c>
      <c r="B102">
        <v>1096700440</v>
      </c>
      <c r="C102">
        <v>1</v>
      </c>
      <c r="D102" s="6" t="s">
        <v>1949</v>
      </c>
      <c r="E102" s="6" t="s">
        <v>1950</v>
      </c>
      <c r="F102">
        <v>3245568323</v>
      </c>
      <c r="G102" s="6" t="s">
        <v>1951</v>
      </c>
      <c r="H102" s="6" t="s">
        <v>1638</v>
      </c>
      <c r="I102" s="6" t="s">
        <v>1952</v>
      </c>
      <c r="J102" s="6" t="s">
        <v>1638</v>
      </c>
      <c r="K102" s="7">
        <v>38234</v>
      </c>
      <c r="L102" s="6" t="s">
        <v>1638</v>
      </c>
      <c r="M102">
        <v>2</v>
      </c>
      <c r="N102">
        <v>10</v>
      </c>
      <c r="O102" s="6" t="s">
        <v>1638</v>
      </c>
      <c r="P102" s="6" t="s">
        <v>1638</v>
      </c>
      <c r="Q102" s="6" t="s">
        <v>1638</v>
      </c>
      <c r="R102" s="6" t="s">
        <v>1897</v>
      </c>
      <c r="S102" s="6" t="s">
        <v>1953</v>
      </c>
      <c r="T102" s="6" t="s">
        <v>1721</v>
      </c>
      <c r="U102" s="6" t="s">
        <v>1954</v>
      </c>
      <c r="V102" s="6" t="s">
        <v>1638</v>
      </c>
      <c r="W102" s="6" t="s">
        <v>35</v>
      </c>
      <c r="X102" s="7">
        <v>45931</v>
      </c>
      <c r="Y102">
        <v>0</v>
      </c>
      <c r="Z102" s="6" t="s">
        <v>1709</v>
      </c>
      <c r="AA102" s="6" t="str">
        <f>IFERROR(VLOOKUP(B102,BD_Clez_Premigracion!C:C,1,FALSE),"No encontrado")</f>
        <v>No encontrado</v>
      </c>
    </row>
    <row r="103" spans="1:27" x14ac:dyDescent="0.25">
      <c r="A103">
        <v>2278</v>
      </c>
      <c r="B103">
        <v>1007772937</v>
      </c>
      <c r="C103">
        <v>1</v>
      </c>
      <c r="D103" s="6" t="s">
        <v>1955</v>
      </c>
      <c r="E103" s="6" t="s">
        <v>1956</v>
      </c>
      <c r="F103">
        <v>3208970735</v>
      </c>
      <c r="G103" s="6" t="s">
        <v>1422</v>
      </c>
      <c r="H103" s="6" t="s">
        <v>1638</v>
      </c>
      <c r="I103" s="6" t="s">
        <v>1638</v>
      </c>
      <c r="J103" s="6" t="s">
        <v>1638</v>
      </c>
      <c r="K103" s="7">
        <v>36702</v>
      </c>
      <c r="L103" s="6" t="s">
        <v>1638</v>
      </c>
      <c r="M103">
        <v>2</v>
      </c>
      <c r="N103">
        <v>4</v>
      </c>
      <c r="O103" s="6" t="s">
        <v>1638</v>
      </c>
      <c r="P103" s="6" t="s">
        <v>1638</v>
      </c>
      <c r="Q103" s="6" t="s">
        <v>1638</v>
      </c>
      <c r="R103" s="6" t="s">
        <v>1638</v>
      </c>
      <c r="S103" s="6" t="s">
        <v>1638</v>
      </c>
      <c r="T103" s="6" t="s">
        <v>1638</v>
      </c>
      <c r="U103" s="6" t="s">
        <v>1638</v>
      </c>
      <c r="V103" s="6" t="s">
        <v>1638</v>
      </c>
      <c r="W103" s="6" t="s">
        <v>1640</v>
      </c>
      <c r="X103" s="7">
        <v>45931</v>
      </c>
      <c r="Y103">
        <v>0</v>
      </c>
      <c r="Z103" s="6" t="s">
        <v>1638</v>
      </c>
      <c r="AA103" s="6" t="str">
        <f>IFERROR(VLOOKUP(B103,BD_Clez_Premigracion!C:C,1,FALSE),"No encontrado")</f>
        <v>No encontrado</v>
      </c>
    </row>
    <row r="104" spans="1:27" x14ac:dyDescent="0.25">
      <c r="A104">
        <v>2222</v>
      </c>
      <c r="B104">
        <v>1004348210</v>
      </c>
      <c r="C104">
        <v>1</v>
      </c>
      <c r="D104" s="6" t="s">
        <v>1957</v>
      </c>
      <c r="E104" s="6" t="s">
        <v>1958</v>
      </c>
      <c r="F104">
        <v>3217060838</v>
      </c>
      <c r="G104" s="6" t="s">
        <v>1296</v>
      </c>
      <c r="H104" s="6" t="s">
        <v>1638</v>
      </c>
      <c r="I104" s="6" t="s">
        <v>1638</v>
      </c>
      <c r="J104" s="6" t="s">
        <v>1638</v>
      </c>
      <c r="K104" s="7">
        <v>37004</v>
      </c>
      <c r="L104" s="6" t="s">
        <v>1638</v>
      </c>
      <c r="M104">
        <v>1</v>
      </c>
      <c r="N104">
        <v>5</v>
      </c>
      <c r="O104" s="6" t="s">
        <v>1638</v>
      </c>
      <c r="P104" s="6" t="s">
        <v>1638</v>
      </c>
      <c r="Q104" s="6" t="s">
        <v>1638</v>
      </c>
      <c r="R104" s="6" t="s">
        <v>1638</v>
      </c>
      <c r="S104" s="6" t="s">
        <v>1638</v>
      </c>
      <c r="T104" s="6" t="s">
        <v>1638</v>
      </c>
      <c r="U104" s="6" t="s">
        <v>1638</v>
      </c>
      <c r="V104" s="6" t="s">
        <v>1638</v>
      </c>
      <c r="W104" s="6" t="s">
        <v>1640</v>
      </c>
      <c r="X104" s="7">
        <v>45926</v>
      </c>
      <c r="Y104">
        <v>0</v>
      </c>
      <c r="Z104" s="6" t="s">
        <v>1638</v>
      </c>
      <c r="AA104" s="6">
        <f>IFERROR(VLOOKUP(B104,BD_Clez_Premigracion!C:C,1,FALSE),"No encontrado")</f>
        <v>1004348210</v>
      </c>
    </row>
    <row r="105" spans="1:27" x14ac:dyDescent="0.25">
      <c r="A105">
        <v>2276</v>
      </c>
      <c r="B105">
        <v>1098757539</v>
      </c>
      <c r="C105">
        <v>1</v>
      </c>
      <c r="D105" s="6" t="s">
        <v>1959</v>
      </c>
      <c r="E105" s="6" t="s">
        <v>1960</v>
      </c>
      <c r="F105">
        <v>3184975541</v>
      </c>
      <c r="G105" s="6" t="s">
        <v>1961</v>
      </c>
      <c r="H105" s="6" t="s">
        <v>1638</v>
      </c>
      <c r="I105" s="6" t="s">
        <v>1638</v>
      </c>
      <c r="J105" s="6" t="s">
        <v>1638</v>
      </c>
      <c r="K105" s="7">
        <v>34534</v>
      </c>
      <c r="L105" s="6" t="s">
        <v>1638</v>
      </c>
      <c r="M105">
        <v>2</v>
      </c>
      <c r="N105">
        <v>3</v>
      </c>
      <c r="O105" s="6" t="s">
        <v>1638</v>
      </c>
      <c r="P105" s="6" t="s">
        <v>1638</v>
      </c>
      <c r="Q105" s="6" t="s">
        <v>1638</v>
      </c>
      <c r="R105" s="6" t="s">
        <v>1638</v>
      </c>
      <c r="S105" s="6" t="s">
        <v>1638</v>
      </c>
      <c r="T105" s="6" t="s">
        <v>1638</v>
      </c>
      <c r="U105" s="6" t="s">
        <v>1638</v>
      </c>
      <c r="V105" s="6" t="s">
        <v>1638</v>
      </c>
      <c r="W105" s="6" t="s">
        <v>1640</v>
      </c>
      <c r="X105" s="7">
        <v>45931</v>
      </c>
      <c r="Y105">
        <v>0</v>
      </c>
      <c r="Z105" s="6" t="s">
        <v>1638</v>
      </c>
      <c r="AA105" s="6">
        <f>IFERROR(VLOOKUP(B105,BD_Clez_Premigracion!C:C,1,FALSE),"No encontrado")</f>
        <v>1098757539</v>
      </c>
    </row>
    <row r="106" spans="1:27" x14ac:dyDescent="0.25">
      <c r="A106">
        <v>2280</v>
      </c>
      <c r="B106">
        <v>1093775147</v>
      </c>
      <c r="C106">
        <v>1</v>
      </c>
      <c r="D106" s="6" t="s">
        <v>1962</v>
      </c>
      <c r="E106" s="6" t="s">
        <v>1963</v>
      </c>
      <c r="F106">
        <v>3023859906</v>
      </c>
      <c r="G106" s="6" t="s">
        <v>1964</v>
      </c>
      <c r="H106" s="6" t="s">
        <v>1638</v>
      </c>
      <c r="I106" s="6" t="s">
        <v>1965</v>
      </c>
      <c r="J106" s="6" t="s">
        <v>1638</v>
      </c>
      <c r="K106" s="7">
        <v>34632</v>
      </c>
      <c r="L106" s="6" t="s">
        <v>1638</v>
      </c>
      <c r="M106">
        <v>2</v>
      </c>
      <c r="N106">
        <v>6</v>
      </c>
      <c r="O106" s="6" t="s">
        <v>1638</v>
      </c>
      <c r="P106" s="6" t="s">
        <v>1638</v>
      </c>
      <c r="Q106" s="6" t="s">
        <v>1638</v>
      </c>
      <c r="R106" s="6" t="s">
        <v>1966</v>
      </c>
      <c r="S106" s="6" t="s">
        <v>1967</v>
      </c>
      <c r="T106" s="6" t="s">
        <v>1721</v>
      </c>
      <c r="U106" s="6" t="s">
        <v>1968</v>
      </c>
      <c r="V106" s="6" t="s">
        <v>1638</v>
      </c>
      <c r="W106" s="6" t="s">
        <v>35</v>
      </c>
      <c r="X106" s="7">
        <v>45932</v>
      </c>
      <c r="Y106">
        <v>0</v>
      </c>
      <c r="Z106" s="6" t="s">
        <v>1709</v>
      </c>
      <c r="AA106" s="6" t="str">
        <f>IFERROR(VLOOKUP(B106,BD_Clez_Premigracion!C:C,1,FALSE),"No encontrado")</f>
        <v>No encontrado</v>
      </c>
    </row>
    <row r="107" spans="1:27" x14ac:dyDescent="0.25">
      <c r="A107">
        <v>2283</v>
      </c>
      <c r="B107">
        <v>1098615709</v>
      </c>
      <c r="C107">
        <v>1</v>
      </c>
      <c r="D107" s="6" t="s">
        <v>1969</v>
      </c>
      <c r="E107" s="6" t="s">
        <v>1970</v>
      </c>
      <c r="F107">
        <v>3232410651</v>
      </c>
      <c r="G107" s="6" t="s">
        <v>1971</v>
      </c>
      <c r="H107" s="6" t="s">
        <v>1638</v>
      </c>
      <c r="I107" s="6" t="s">
        <v>1638</v>
      </c>
      <c r="J107" s="6" t="s">
        <v>1638</v>
      </c>
      <c r="K107" s="7">
        <v>38127</v>
      </c>
      <c r="L107" s="6" t="s">
        <v>1638</v>
      </c>
      <c r="M107">
        <v>1</v>
      </c>
      <c r="N107">
        <v>10</v>
      </c>
      <c r="O107" s="6" t="s">
        <v>1638</v>
      </c>
      <c r="P107" s="6" t="s">
        <v>1638</v>
      </c>
      <c r="Q107" s="6" t="s">
        <v>1638</v>
      </c>
      <c r="R107" s="6" t="s">
        <v>1638</v>
      </c>
      <c r="S107" s="6" t="s">
        <v>1638</v>
      </c>
      <c r="T107" s="6" t="s">
        <v>1638</v>
      </c>
      <c r="U107" s="6" t="s">
        <v>1638</v>
      </c>
      <c r="V107" s="6" t="s">
        <v>1638</v>
      </c>
      <c r="W107" s="6" t="s">
        <v>1640</v>
      </c>
      <c r="X107" s="7">
        <v>45932</v>
      </c>
      <c r="Y107">
        <v>0</v>
      </c>
      <c r="Z107" s="6" t="s">
        <v>1638</v>
      </c>
      <c r="AA107" s="6">
        <f>IFERROR(VLOOKUP(B107,BD_Clez_Premigracion!C:C,1,FALSE),"No encontrado")</f>
        <v>1098615709</v>
      </c>
    </row>
    <row r="108" spans="1:27" x14ac:dyDescent="0.25">
      <c r="A108">
        <v>2282</v>
      </c>
      <c r="B108">
        <v>1005334263</v>
      </c>
      <c r="C108">
        <v>3</v>
      </c>
      <c r="D108" s="6" t="s">
        <v>1972</v>
      </c>
      <c r="E108" s="6" t="s">
        <v>1973</v>
      </c>
      <c r="F108">
        <v>3213848770</v>
      </c>
      <c r="G108" s="6" t="s">
        <v>1139</v>
      </c>
      <c r="H108" s="6" t="s">
        <v>1638</v>
      </c>
      <c r="I108" s="6" t="s">
        <v>1638</v>
      </c>
      <c r="J108" s="6" t="s">
        <v>1638</v>
      </c>
      <c r="K108" s="7">
        <v>36791</v>
      </c>
      <c r="L108" s="6" t="s">
        <v>1638</v>
      </c>
      <c r="M108">
        <v>1</v>
      </c>
      <c r="N108">
        <v>5</v>
      </c>
      <c r="O108" s="6" t="s">
        <v>1638</v>
      </c>
      <c r="P108" s="6" t="s">
        <v>1638</v>
      </c>
      <c r="Q108" s="6" t="s">
        <v>1638</v>
      </c>
      <c r="R108" s="6" t="s">
        <v>1638</v>
      </c>
      <c r="S108" s="6" t="s">
        <v>1638</v>
      </c>
      <c r="T108" s="6" t="s">
        <v>1638</v>
      </c>
      <c r="U108" s="6" t="s">
        <v>1638</v>
      </c>
      <c r="V108" s="6" t="s">
        <v>1638</v>
      </c>
      <c r="W108" s="6" t="s">
        <v>1640</v>
      </c>
      <c r="X108" s="7">
        <v>45932</v>
      </c>
      <c r="Y108">
        <v>0</v>
      </c>
      <c r="Z108" s="6" t="s">
        <v>1638</v>
      </c>
      <c r="AA108" s="6">
        <f>IFERROR(VLOOKUP(B108,BD_Clez_Premigracion!C:C,1,FALSE),"No encontrado")</f>
        <v>1005334263</v>
      </c>
    </row>
    <row r="109" spans="1:27" x14ac:dyDescent="0.25">
      <c r="A109">
        <v>2284</v>
      </c>
      <c r="B109">
        <v>1090535263</v>
      </c>
      <c r="C109">
        <v>1</v>
      </c>
      <c r="D109" s="6" t="s">
        <v>1974</v>
      </c>
      <c r="E109" s="6" t="s">
        <v>1975</v>
      </c>
      <c r="F109">
        <v>3135740397</v>
      </c>
      <c r="G109" s="6" t="s">
        <v>1976</v>
      </c>
      <c r="H109" s="6" t="s">
        <v>1638</v>
      </c>
      <c r="I109" s="6" t="s">
        <v>1638</v>
      </c>
      <c r="J109" s="6" t="s">
        <v>1638</v>
      </c>
      <c r="K109" s="7">
        <v>36451</v>
      </c>
      <c r="L109" s="6" t="s">
        <v>1638</v>
      </c>
      <c r="M109">
        <v>1</v>
      </c>
      <c r="N109">
        <v>4</v>
      </c>
      <c r="O109" s="6" t="s">
        <v>1638</v>
      </c>
      <c r="P109" s="6" t="s">
        <v>1638</v>
      </c>
      <c r="Q109" s="6" t="s">
        <v>1638</v>
      </c>
      <c r="R109" s="6" t="s">
        <v>1638</v>
      </c>
      <c r="S109" s="6" t="s">
        <v>1638</v>
      </c>
      <c r="T109" s="6" t="s">
        <v>1638</v>
      </c>
      <c r="U109" s="6" t="s">
        <v>1638</v>
      </c>
      <c r="V109" s="6" t="s">
        <v>1638</v>
      </c>
      <c r="W109" s="6" t="s">
        <v>1640</v>
      </c>
      <c r="X109" s="7">
        <v>45932</v>
      </c>
      <c r="Y109">
        <v>0</v>
      </c>
      <c r="Z109" s="6" t="s">
        <v>1638</v>
      </c>
      <c r="AA109" s="6" t="str">
        <f>IFERROR(VLOOKUP(B109,BD_Clez_Premigracion!C:C,1,FALSE),"No encontrado")</f>
        <v>No encontrado</v>
      </c>
    </row>
    <row r="110" spans="1:27" x14ac:dyDescent="0.25">
      <c r="A110">
        <v>2246</v>
      </c>
      <c r="B110">
        <v>63346401</v>
      </c>
      <c r="C110">
        <v>1</v>
      </c>
      <c r="D110" s="6" t="s">
        <v>1977</v>
      </c>
      <c r="E110" s="6" t="s">
        <v>1978</v>
      </c>
      <c r="F110">
        <v>3123137845</v>
      </c>
      <c r="G110" s="6" t="s">
        <v>1979</v>
      </c>
      <c r="H110" s="6" t="s">
        <v>1638</v>
      </c>
      <c r="I110" s="6" t="s">
        <v>1638</v>
      </c>
      <c r="J110" s="6" t="s">
        <v>1638</v>
      </c>
      <c r="K110" s="7">
        <v>24844</v>
      </c>
      <c r="L110" s="6" t="s">
        <v>1638</v>
      </c>
      <c r="M110">
        <v>2</v>
      </c>
      <c r="N110">
        <v>3</v>
      </c>
      <c r="O110" s="6" t="s">
        <v>1638</v>
      </c>
      <c r="P110" s="6" t="s">
        <v>1638</v>
      </c>
      <c r="Q110" s="6" t="s">
        <v>1638</v>
      </c>
      <c r="R110" s="6" t="s">
        <v>1638</v>
      </c>
      <c r="S110" s="6" t="s">
        <v>1638</v>
      </c>
      <c r="T110" s="6" t="s">
        <v>1638</v>
      </c>
      <c r="U110" s="6" t="s">
        <v>1638</v>
      </c>
      <c r="V110" s="6" t="s">
        <v>1638</v>
      </c>
      <c r="W110" s="6" t="s">
        <v>1640</v>
      </c>
      <c r="X110" s="7">
        <v>45930</v>
      </c>
      <c r="Y110">
        <v>0</v>
      </c>
      <c r="Z110" s="6" t="s">
        <v>1638</v>
      </c>
      <c r="AA110" s="6">
        <f>IFERROR(VLOOKUP(B110,BD_Clez_Premigracion!C:C,1,FALSE),"No encontrado")</f>
        <v>63346401</v>
      </c>
    </row>
    <row r="111" spans="1:27" x14ac:dyDescent="0.25">
      <c r="A111">
        <v>2285</v>
      </c>
      <c r="B111">
        <v>1005240620</v>
      </c>
      <c r="C111">
        <v>1</v>
      </c>
      <c r="D111" s="6" t="s">
        <v>1980</v>
      </c>
      <c r="E111" s="6" t="s">
        <v>1981</v>
      </c>
      <c r="F111">
        <v>3158906547</v>
      </c>
      <c r="G111" s="6" t="s">
        <v>1425</v>
      </c>
      <c r="H111" s="6" t="s">
        <v>1638</v>
      </c>
      <c r="I111" s="6" t="s">
        <v>1638</v>
      </c>
      <c r="J111" s="6" t="s">
        <v>1638</v>
      </c>
      <c r="K111" s="7">
        <v>37945</v>
      </c>
      <c r="L111" s="6" t="s">
        <v>1638</v>
      </c>
      <c r="M111">
        <v>1</v>
      </c>
      <c r="N111">
        <v>8</v>
      </c>
      <c r="O111" s="6" t="s">
        <v>1638</v>
      </c>
      <c r="P111" s="6" t="s">
        <v>1638</v>
      </c>
      <c r="Q111" s="6" t="s">
        <v>1638</v>
      </c>
      <c r="R111" s="6" t="s">
        <v>1638</v>
      </c>
      <c r="S111" s="6" t="s">
        <v>1638</v>
      </c>
      <c r="T111" s="6" t="s">
        <v>1638</v>
      </c>
      <c r="U111" s="6" t="s">
        <v>1638</v>
      </c>
      <c r="V111" s="6" t="s">
        <v>1638</v>
      </c>
      <c r="W111" s="6" t="s">
        <v>1640</v>
      </c>
      <c r="X111" s="7">
        <v>45932</v>
      </c>
      <c r="Y111">
        <v>0</v>
      </c>
      <c r="Z111" s="6" t="s">
        <v>1638</v>
      </c>
      <c r="AA111" s="6">
        <f>IFERROR(VLOOKUP(B111,BD_Clez_Premigracion!C:C,1,FALSE),"No encontrado")</f>
        <v>1005240620</v>
      </c>
    </row>
    <row r="112" spans="1:27" x14ac:dyDescent="0.25">
      <c r="A112">
        <v>2286</v>
      </c>
      <c r="B112">
        <v>1007775913</v>
      </c>
      <c r="C112">
        <v>1</v>
      </c>
      <c r="D112" s="6" t="s">
        <v>1982</v>
      </c>
      <c r="E112" s="6" t="s">
        <v>1983</v>
      </c>
      <c r="F112">
        <v>3164557109</v>
      </c>
      <c r="G112" s="6" t="s">
        <v>1984</v>
      </c>
      <c r="H112" s="6" t="s">
        <v>1638</v>
      </c>
      <c r="I112" s="6" t="s">
        <v>1638</v>
      </c>
      <c r="J112" s="6" t="s">
        <v>1638</v>
      </c>
      <c r="K112" s="7">
        <v>36772</v>
      </c>
      <c r="L112" s="6" t="s">
        <v>1638</v>
      </c>
      <c r="M112">
        <v>2</v>
      </c>
      <c r="N112">
        <v>9</v>
      </c>
      <c r="O112" s="6" t="s">
        <v>1638</v>
      </c>
      <c r="P112" s="6" t="s">
        <v>1638</v>
      </c>
      <c r="Q112" s="6" t="s">
        <v>1638</v>
      </c>
      <c r="R112" s="6" t="s">
        <v>1638</v>
      </c>
      <c r="S112" s="6" t="s">
        <v>1638</v>
      </c>
      <c r="T112" s="6" t="s">
        <v>1638</v>
      </c>
      <c r="U112" s="6" t="s">
        <v>1638</v>
      </c>
      <c r="V112" s="6" t="s">
        <v>1638</v>
      </c>
      <c r="W112" s="6" t="s">
        <v>1640</v>
      </c>
      <c r="X112" s="7">
        <v>45932</v>
      </c>
      <c r="Y112">
        <v>0</v>
      </c>
      <c r="Z112" s="6" t="s">
        <v>1638</v>
      </c>
      <c r="AA112" s="6" t="str">
        <f>IFERROR(VLOOKUP(B112,BD_Clez_Premigracion!C:C,1,FALSE),"No encontrado")</f>
        <v>No encontrado</v>
      </c>
    </row>
    <row r="113" spans="1:27" x14ac:dyDescent="0.25">
      <c r="A113">
        <v>2287</v>
      </c>
      <c r="B113">
        <v>1095832295</v>
      </c>
      <c r="C113">
        <v>1</v>
      </c>
      <c r="D113" s="6" t="s">
        <v>1985</v>
      </c>
      <c r="E113" s="6" t="s">
        <v>1986</v>
      </c>
      <c r="F113">
        <v>3212189397</v>
      </c>
      <c r="G113" s="6" t="s">
        <v>1213</v>
      </c>
      <c r="H113" s="6" t="s">
        <v>1638</v>
      </c>
      <c r="I113" s="6" t="s">
        <v>1638</v>
      </c>
      <c r="J113" s="6" t="s">
        <v>1638</v>
      </c>
      <c r="K113" s="7">
        <v>35321</v>
      </c>
      <c r="L113" s="6" t="s">
        <v>1638</v>
      </c>
      <c r="M113">
        <v>2</v>
      </c>
      <c r="N113">
        <v>3</v>
      </c>
      <c r="O113" s="6" t="s">
        <v>1638</v>
      </c>
      <c r="P113" s="6" t="s">
        <v>1638</v>
      </c>
      <c r="Q113" s="6" t="s">
        <v>1638</v>
      </c>
      <c r="R113" s="6" t="s">
        <v>1638</v>
      </c>
      <c r="S113" s="6" t="s">
        <v>1638</v>
      </c>
      <c r="T113" s="6" t="s">
        <v>1638</v>
      </c>
      <c r="U113" s="6" t="s">
        <v>1638</v>
      </c>
      <c r="V113" s="6" t="s">
        <v>1638</v>
      </c>
      <c r="W113" s="6" t="s">
        <v>1640</v>
      </c>
      <c r="X113" s="7">
        <v>45932</v>
      </c>
      <c r="Y113">
        <v>0</v>
      </c>
      <c r="Z113" s="6" t="s">
        <v>1638</v>
      </c>
      <c r="AA113" s="6">
        <f>IFERROR(VLOOKUP(B113,BD_Clez_Premigracion!C:C,1,FALSE),"No encontrado")</f>
        <v>1095832295</v>
      </c>
    </row>
    <row r="114" spans="1:27" x14ac:dyDescent="0.25">
      <c r="A114">
        <v>2289</v>
      </c>
      <c r="B114">
        <v>1093797175</v>
      </c>
      <c r="C114">
        <v>1</v>
      </c>
      <c r="D114" s="6" t="s">
        <v>1987</v>
      </c>
      <c r="E114" s="6" t="s">
        <v>1988</v>
      </c>
      <c r="F114">
        <v>3232206355</v>
      </c>
      <c r="G114" s="6" t="s">
        <v>1989</v>
      </c>
      <c r="H114" s="6" t="s">
        <v>1638</v>
      </c>
      <c r="I114" s="6" t="s">
        <v>1638</v>
      </c>
      <c r="J114" s="6" t="s">
        <v>1638</v>
      </c>
      <c r="K114" s="7">
        <v>36100</v>
      </c>
      <c r="L114" s="6" t="s">
        <v>1638</v>
      </c>
      <c r="M114">
        <v>2</v>
      </c>
      <c r="N114">
        <v>6</v>
      </c>
      <c r="O114" s="6" t="s">
        <v>1638</v>
      </c>
      <c r="P114" s="6" t="s">
        <v>1638</v>
      </c>
      <c r="Q114" s="6" t="s">
        <v>1638</v>
      </c>
      <c r="R114" s="6" t="s">
        <v>1638</v>
      </c>
      <c r="S114" s="6" t="s">
        <v>1638</v>
      </c>
      <c r="T114" s="6" t="s">
        <v>1638</v>
      </c>
      <c r="U114" s="6" t="s">
        <v>1638</v>
      </c>
      <c r="V114" s="6" t="s">
        <v>1638</v>
      </c>
      <c r="W114" s="6" t="s">
        <v>1640</v>
      </c>
      <c r="X114" s="7">
        <v>45933</v>
      </c>
      <c r="Y114">
        <v>0</v>
      </c>
      <c r="Z114" s="6" t="s">
        <v>1638</v>
      </c>
      <c r="AA114" s="6">
        <f>IFERROR(VLOOKUP(B114,BD_Clez_Premigracion!C:C,1,FALSE),"No encontrado")</f>
        <v>1093797175</v>
      </c>
    </row>
    <row r="115" spans="1:27" x14ac:dyDescent="0.25">
      <c r="A115">
        <v>2290</v>
      </c>
      <c r="B115">
        <v>1097911303</v>
      </c>
      <c r="C115">
        <v>1</v>
      </c>
      <c r="D115" s="6" t="s">
        <v>1990</v>
      </c>
      <c r="E115" s="6" t="s">
        <v>1991</v>
      </c>
      <c r="F115">
        <v>3001632609</v>
      </c>
      <c r="G115" s="6" t="s">
        <v>1992</v>
      </c>
      <c r="H115" s="6" t="s">
        <v>1638</v>
      </c>
      <c r="I115" s="6" t="s">
        <v>1993</v>
      </c>
      <c r="J115" s="6" t="s">
        <v>1638</v>
      </c>
      <c r="K115" s="7">
        <v>38768</v>
      </c>
      <c r="L115" s="6" t="s">
        <v>1638</v>
      </c>
      <c r="M115">
        <v>2</v>
      </c>
      <c r="N115">
        <v>5</v>
      </c>
      <c r="O115" s="6" t="s">
        <v>1638</v>
      </c>
      <c r="P115" s="6" t="s">
        <v>1638</v>
      </c>
      <c r="Q115" s="6" t="s">
        <v>1638</v>
      </c>
      <c r="R115" s="6" t="s">
        <v>1848</v>
      </c>
      <c r="S115" s="6" t="s">
        <v>1994</v>
      </c>
      <c r="T115" s="6" t="s">
        <v>1721</v>
      </c>
      <c r="U115" s="6" t="s">
        <v>1995</v>
      </c>
      <c r="V115" s="6" t="s">
        <v>1638</v>
      </c>
      <c r="W115" s="6" t="s">
        <v>35</v>
      </c>
      <c r="X115" s="7">
        <v>45933</v>
      </c>
      <c r="Y115">
        <v>0</v>
      </c>
      <c r="Z115" s="6" t="s">
        <v>1709</v>
      </c>
      <c r="AA115" s="6">
        <f>IFERROR(VLOOKUP(B115,BD_Clez_Premigracion!C:C,1,FALSE),"No encontrado")</f>
        <v>1097911303</v>
      </c>
    </row>
    <row r="116" spans="1:27" x14ac:dyDescent="0.25">
      <c r="A116">
        <v>2291</v>
      </c>
      <c r="B116">
        <v>5489941</v>
      </c>
      <c r="C116">
        <v>1</v>
      </c>
      <c r="D116" s="6" t="s">
        <v>1996</v>
      </c>
      <c r="E116" s="6" t="s">
        <v>1997</v>
      </c>
      <c r="F116">
        <v>3183963534</v>
      </c>
      <c r="G116" s="6" t="s">
        <v>1175</v>
      </c>
      <c r="H116" s="6" t="s">
        <v>1638</v>
      </c>
      <c r="I116" s="6" t="s">
        <v>1638</v>
      </c>
      <c r="J116" s="6" t="s">
        <v>1638</v>
      </c>
      <c r="K116" s="7">
        <v>29391</v>
      </c>
      <c r="L116" s="6" t="s">
        <v>1638</v>
      </c>
      <c r="M116">
        <v>1</v>
      </c>
      <c r="N116">
        <v>4</v>
      </c>
      <c r="O116" s="6" t="s">
        <v>1638</v>
      </c>
      <c r="P116" s="6" t="s">
        <v>1638</v>
      </c>
      <c r="Q116" s="6" t="s">
        <v>1638</v>
      </c>
      <c r="R116" s="6" t="s">
        <v>1638</v>
      </c>
      <c r="S116" s="6" t="s">
        <v>1638</v>
      </c>
      <c r="T116" s="6" t="s">
        <v>1638</v>
      </c>
      <c r="U116" s="6" t="s">
        <v>1638</v>
      </c>
      <c r="V116" s="6" t="s">
        <v>1638</v>
      </c>
      <c r="W116" s="6" t="s">
        <v>1640</v>
      </c>
      <c r="X116" s="7">
        <v>45933</v>
      </c>
      <c r="Y116">
        <v>0</v>
      </c>
      <c r="Z116" s="6" t="s">
        <v>1638</v>
      </c>
      <c r="AA116" s="6">
        <f>IFERROR(VLOOKUP(B116,BD_Clez_Premigracion!C:C,1,FALSE),"No encontrado")</f>
        <v>5489941</v>
      </c>
    </row>
    <row r="117" spans="1:27" x14ac:dyDescent="0.25">
      <c r="A117">
        <v>2294</v>
      </c>
      <c r="B117">
        <v>1095934040</v>
      </c>
      <c r="C117">
        <v>1</v>
      </c>
      <c r="D117" s="6" t="s">
        <v>1998</v>
      </c>
      <c r="E117" s="6" t="s">
        <v>1999</v>
      </c>
      <c r="F117">
        <v>3106732017</v>
      </c>
      <c r="G117" s="6" t="s">
        <v>2000</v>
      </c>
      <c r="H117" s="6" t="s">
        <v>1638</v>
      </c>
      <c r="I117" s="6" t="s">
        <v>2001</v>
      </c>
      <c r="J117" s="6" t="s">
        <v>1638</v>
      </c>
      <c r="K117" s="7">
        <v>34218</v>
      </c>
      <c r="L117" s="6" t="s">
        <v>1638</v>
      </c>
      <c r="M117">
        <v>2</v>
      </c>
      <c r="N117">
        <v>8</v>
      </c>
      <c r="O117" s="6" t="s">
        <v>1638</v>
      </c>
      <c r="P117" s="6" t="s">
        <v>1638</v>
      </c>
      <c r="Q117" s="6" t="s">
        <v>1638</v>
      </c>
      <c r="R117" s="6" t="s">
        <v>1639</v>
      </c>
      <c r="S117" s="6" t="s">
        <v>2002</v>
      </c>
      <c r="T117" s="6" t="s">
        <v>1721</v>
      </c>
      <c r="U117" s="6" t="s">
        <v>2003</v>
      </c>
      <c r="V117" s="6" t="s">
        <v>1638</v>
      </c>
      <c r="W117" s="6" t="s">
        <v>35</v>
      </c>
      <c r="X117" s="7">
        <v>45933</v>
      </c>
      <c r="Y117">
        <v>0</v>
      </c>
      <c r="Z117" s="6" t="s">
        <v>1709</v>
      </c>
      <c r="AA117" s="6" t="str">
        <f>IFERROR(VLOOKUP(B117,BD_Clez_Premigracion!C:C,1,FALSE),"No encontrado")</f>
        <v>No encontrado</v>
      </c>
    </row>
    <row r="118" spans="1:27" x14ac:dyDescent="0.25">
      <c r="A118">
        <v>2295</v>
      </c>
      <c r="B118">
        <v>1005028371</v>
      </c>
      <c r="C118">
        <v>1</v>
      </c>
      <c r="D118" s="6" t="s">
        <v>2004</v>
      </c>
      <c r="E118" s="6" t="s">
        <v>2005</v>
      </c>
      <c r="F118">
        <v>3114043359</v>
      </c>
      <c r="G118" s="6" t="s">
        <v>2006</v>
      </c>
      <c r="H118" s="6" t="s">
        <v>1638</v>
      </c>
      <c r="I118" s="6" t="s">
        <v>2007</v>
      </c>
      <c r="J118" s="6" t="s">
        <v>1638</v>
      </c>
      <c r="K118" s="7">
        <v>37762</v>
      </c>
      <c r="L118" s="6" t="s">
        <v>1638</v>
      </c>
      <c r="M118">
        <v>2</v>
      </c>
      <c r="N118">
        <v>4</v>
      </c>
      <c r="O118" s="6" t="s">
        <v>1638</v>
      </c>
      <c r="P118" s="6" t="s">
        <v>1638</v>
      </c>
      <c r="Q118" s="6" t="s">
        <v>1638</v>
      </c>
      <c r="R118" s="6" t="s">
        <v>1663</v>
      </c>
      <c r="S118" s="6" t="s">
        <v>2008</v>
      </c>
      <c r="T118" s="6" t="s">
        <v>1721</v>
      </c>
      <c r="U118" s="6" t="s">
        <v>2009</v>
      </c>
      <c r="V118" s="6" t="s">
        <v>1638</v>
      </c>
      <c r="W118" s="6" t="s">
        <v>35</v>
      </c>
      <c r="X118" s="7">
        <v>45933</v>
      </c>
      <c r="Y118">
        <v>0</v>
      </c>
      <c r="Z118" s="6" t="s">
        <v>1709</v>
      </c>
      <c r="AA118" s="6" t="str">
        <f>IFERROR(VLOOKUP(B118,BD_Clez_Premigracion!C:C,1,FALSE),"No encontrado")</f>
        <v>No encontrado</v>
      </c>
    </row>
    <row r="119" spans="1:27" x14ac:dyDescent="0.25">
      <c r="A119">
        <v>2292</v>
      </c>
      <c r="B119">
        <v>5088153</v>
      </c>
      <c r="C119">
        <v>6</v>
      </c>
      <c r="D119" s="6" t="s">
        <v>2010</v>
      </c>
      <c r="E119" s="6" t="s">
        <v>2011</v>
      </c>
      <c r="F119">
        <v>3219507421</v>
      </c>
      <c r="G119" s="6" t="s">
        <v>2012</v>
      </c>
      <c r="H119" s="6" t="s">
        <v>1638</v>
      </c>
      <c r="I119" s="6" t="s">
        <v>1638</v>
      </c>
      <c r="J119" s="6" t="s">
        <v>1638</v>
      </c>
      <c r="K119" s="7">
        <v>33341</v>
      </c>
      <c r="L119" s="6" t="s">
        <v>1638</v>
      </c>
      <c r="M119">
        <v>1</v>
      </c>
      <c r="N119">
        <v>2</v>
      </c>
      <c r="O119" s="6" t="s">
        <v>1638</v>
      </c>
      <c r="P119" s="6" t="s">
        <v>1638</v>
      </c>
      <c r="Q119" s="6" t="s">
        <v>1638</v>
      </c>
      <c r="R119" s="6" t="s">
        <v>1638</v>
      </c>
      <c r="S119" s="6" t="s">
        <v>1638</v>
      </c>
      <c r="T119" s="6" t="s">
        <v>1638</v>
      </c>
      <c r="U119" s="6" t="s">
        <v>1638</v>
      </c>
      <c r="V119" s="6" t="s">
        <v>1638</v>
      </c>
      <c r="W119" s="6" t="s">
        <v>1640</v>
      </c>
      <c r="X119" s="7">
        <v>45933</v>
      </c>
      <c r="Y119">
        <v>0</v>
      </c>
      <c r="Z119" s="6" t="s">
        <v>1638</v>
      </c>
      <c r="AA119" s="6">
        <f>IFERROR(VLOOKUP(B119,BD_Clez_Premigracion!C:C,1,FALSE),"No encontrado")</f>
        <v>5088153</v>
      </c>
    </row>
    <row r="120" spans="1:27" x14ac:dyDescent="0.25">
      <c r="A120">
        <v>2288</v>
      </c>
      <c r="B120">
        <v>1116550776</v>
      </c>
      <c r="C120">
        <v>1</v>
      </c>
      <c r="D120" s="6" t="s">
        <v>2013</v>
      </c>
      <c r="E120" s="6" t="s">
        <v>2014</v>
      </c>
      <c r="F120">
        <v>3202010959</v>
      </c>
      <c r="G120" s="6" t="s">
        <v>2015</v>
      </c>
      <c r="H120" s="6" t="s">
        <v>1638</v>
      </c>
      <c r="I120" s="6" t="s">
        <v>1638</v>
      </c>
      <c r="J120" s="6" t="s">
        <v>1638</v>
      </c>
      <c r="K120" s="7">
        <v>34685</v>
      </c>
      <c r="L120" s="6" t="s">
        <v>1638</v>
      </c>
      <c r="M120">
        <v>2</v>
      </c>
      <c r="N120">
        <v>9</v>
      </c>
      <c r="O120" s="6" t="s">
        <v>1638</v>
      </c>
      <c r="P120" s="6" t="s">
        <v>1638</v>
      </c>
      <c r="Q120" s="6" t="s">
        <v>1638</v>
      </c>
      <c r="R120" s="6" t="s">
        <v>1638</v>
      </c>
      <c r="S120" s="6" t="s">
        <v>1638</v>
      </c>
      <c r="T120" s="6" t="s">
        <v>1638</v>
      </c>
      <c r="U120" s="6" t="s">
        <v>1638</v>
      </c>
      <c r="V120" s="6" t="s">
        <v>1638</v>
      </c>
      <c r="W120" s="6" t="s">
        <v>1640</v>
      </c>
      <c r="X120" s="7">
        <v>45933</v>
      </c>
      <c r="Y120">
        <v>0</v>
      </c>
      <c r="Z120" s="6" t="s">
        <v>1638</v>
      </c>
      <c r="AA120" s="6">
        <f>IFERROR(VLOOKUP(B120,BD_Clez_Premigracion!C:C,1,FALSE),"No encontrado")</f>
        <v>1116550776</v>
      </c>
    </row>
    <row r="121" spans="1:27" x14ac:dyDescent="0.25">
      <c r="A121">
        <v>2293</v>
      </c>
      <c r="B121">
        <v>1116798906</v>
      </c>
      <c r="C121">
        <v>1</v>
      </c>
      <c r="D121" s="6" t="s">
        <v>2016</v>
      </c>
      <c r="E121" s="6" t="s">
        <v>2017</v>
      </c>
      <c r="F121">
        <v>3152222034</v>
      </c>
      <c r="G121" s="6" t="s">
        <v>2018</v>
      </c>
      <c r="H121" s="6" t="s">
        <v>1638</v>
      </c>
      <c r="I121" s="6" t="s">
        <v>1638</v>
      </c>
      <c r="J121" s="6" t="s">
        <v>1638</v>
      </c>
      <c r="K121" s="7">
        <v>34526</v>
      </c>
      <c r="L121" s="6" t="s">
        <v>1638</v>
      </c>
      <c r="M121">
        <v>1</v>
      </c>
      <c r="N121">
        <v>2</v>
      </c>
      <c r="O121" s="6" t="s">
        <v>1638</v>
      </c>
      <c r="P121" s="6" t="s">
        <v>1638</v>
      </c>
      <c r="Q121" s="6" t="s">
        <v>1638</v>
      </c>
      <c r="R121" s="6" t="s">
        <v>1638</v>
      </c>
      <c r="S121" s="6" t="s">
        <v>1638</v>
      </c>
      <c r="T121" s="6" t="s">
        <v>1638</v>
      </c>
      <c r="U121" s="6" t="s">
        <v>1638</v>
      </c>
      <c r="V121" s="6" t="s">
        <v>1638</v>
      </c>
      <c r="W121" s="6" t="s">
        <v>1640</v>
      </c>
      <c r="X121" s="7">
        <v>45933</v>
      </c>
      <c r="Y121">
        <v>0</v>
      </c>
      <c r="Z121" s="6" t="s">
        <v>1638</v>
      </c>
      <c r="AA121" s="6" t="str">
        <f>IFERROR(VLOOKUP(B121,BD_Clez_Premigracion!C:C,1,FALSE),"No encontrado")</f>
        <v>No encontrado</v>
      </c>
    </row>
    <row r="122" spans="1:27" x14ac:dyDescent="0.25">
      <c r="A122">
        <v>2281</v>
      </c>
      <c r="B122">
        <v>1090534415</v>
      </c>
      <c r="C122">
        <v>1</v>
      </c>
      <c r="D122" s="6" t="s">
        <v>2019</v>
      </c>
      <c r="E122" s="6" t="s">
        <v>2020</v>
      </c>
      <c r="F122">
        <v>3227488121</v>
      </c>
      <c r="G122" s="6" t="s">
        <v>1440</v>
      </c>
      <c r="H122" s="6" t="s">
        <v>1638</v>
      </c>
      <c r="I122" s="6" t="s">
        <v>1638</v>
      </c>
      <c r="J122" s="6" t="s">
        <v>1638</v>
      </c>
      <c r="K122" s="7">
        <v>36463</v>
      </c>
      <c r="L122" s="6" t="s">
        <v>1638</v>
      </c>
      <c r="M122">
        <v>2</v>
      </c>
      <c r="N122">
        <v>4</v>
      </c>
      <c r="O122" s="6" t="s">
        <v>1638</v>
      </c>
      <c r="P122" s="6" t="s">
        <v>1638</v>
      </c>
      <c r="Q122" s="6" t="s">
        <v>1638</v>
      </c>
      <c r="R122" s="6" t="s">
        <v>1638</v>
      </c>
      <c r="S122" s="6" t="s">
        <v>1638</v>
      </c>
      <c r="T122" s="6" t="s">
        <v>1638</v>
      </c>
      <c r="U122" s="6" t="s">
        <v>1638</v>
      </c>
      <c r="V122" s="6" t="s">
        <v>1638</v>
      </c>
      <c r="W122" s="6" t="s">
        <v>1640</v>
      </c>
      <c r="X122" s="7">
        <v>45932</v>
      </c>
      <c r="Y122">
        <v>0</v>
      </c>
      <c r="Z122" s="6" t="s">
        <v>1638</v>
      </c>
      <c r="AA122" s="6">
        <f>IFERROR(VLOOKUP(B122,BD_Clez_Premigracion!C:C,1,FALSE),"No encontrado")</f>
        <v>1090534415</v>
      </c>
    </row>
    <row r="123" spans="1:27" x14ac:dyDescent="0.25">
      <c r="A123">
        <v>2215</v>
      </c>
      <c r="B123">
        <v>1093796478</v>
      </c>
      <c r="C123">
        <v>1</v>
      </c>
      <c r="D123" s="6" t="s">
        <v>2021</v>
      </c>
      <c r="E123" s="6" t="s">
        <v>2022</v>
      </c>
      <c r="F123">
        <v>3152883248</v>
      </c>
      <c r="G123" s="6" t="s">
        <v>2023</v>
      </c>
      <c r="H123" s="6" t="s">
        <v>1638</v>
      </c>
      <c r="I123" s="6" t="s">
        <v>1638</v>
      </c>
      <c r="J123" s="6" t="s">
        <v>1638</v>
      </c>
      <c r="K123" s="7">
        <v>36018</v>
      </c>
      <c r="L123" s="6" t="s">
        <v>1638</v>
      </c>
      <c r="M123">
        <v>2</v>
      </c>
      <c r="N123">
        <v>2</v>
      </c>
      <c r="O123" s="6" t="s">
        <v>1638</v>
      </c>
      <c r="P123" s="6" t="s">
        <v>1638</v>
      </c>
      <c r="Q123" s="6" t="s">
        <v>1638</v>
      </c>
      <c r="R123" s="6" t="s">
        <v>1638</v>
      </c>
      <c r="S123" s="6" t="s">
        <v>1638</v>
      </c>
      <c r="T123" s="6" t="s">
        <v>1638</v>
      </c>
      <c r="U123" s="6" t="s">
        <v>1638</v>
      </c>
      <c r="V123" s="6" t="s">
        <v>1638</v>
      </c>
      <c r="W123" s="6" t="s">
        <v>1640</v>
      </c>
      <c r="X123" s="7">
        <v>45925</v>
      </c>
      <c r="Y123">
        <v>0</v>
      </c>
      <c r="Z123" s="6" t="s">
        <v>1638</v>
      </c>
      <c r="AA123" s="6">
        <f>IFERROR(VLOOKUP(B123,BD_Clez_Premigracion!C:C,1,FALSE),"No encontrado")</f>
        <v>1093796478</v>
      </c>
    </row>
    <row r="124" spans="1:27" x14ac:dyDescent="0.25">
      <c r="A124">
        <v>2297</v>
      </c>
      <c r="B124">
        <v>1090443270</v>
      </c>
      <c r="C124">
        <v>1</v>
      </c>
      <c r="D124" s="6" t="s">
        <v>2024</v>
      </c>
      <c r="E124" s="6" t="s">
        <v>2025</v>
      </c>
      <c r="F124">
        <v>3212688204</v>
      </c>
      <c r="G124" s="6" t="s">
        <v>1401</v>
      </c>
      <c r="H124" s="6" t="s">
        <v>1638</v>
      </c>
      <c r="I124" s="6" t="s">
        <v>1638</v>
      </c>
      <c r="J124" s="6" t="s">
        <v>1638</v>
      </c>
      <c r="K124" s="7">
        <v>33579</v>
      </c>
      <c r="L124" s="6" t="s">
        <v>1638</v>
      </c>
      <c r="M124">
        <v>1</v>
      </c>
      <c r="N124">
        <v>4</v>
      </c>
      <c r="O124" s="6" t="s">
        <v>1638</v>
      </c>
      <c r="P124" s="6" t="s">
        <v>1638</v>
      </c>
      <c r="Q124" s="6" t="s">
        <v>1638</v>
      </c>
      <c r="R124" s="6" t="s">
        <v>1638</v>
      </c>
      <c r="S124" s="6" t="s">
        <v>1638</v>
      </c>
      <c r="T124" s="6" t="s">
        <v>1638</v>
      </c>
      <c r="U124" s="6" t="s">
        <v>1638</v>
      </c>
      <c r="V124" s="6" t="s">
        <v>1638</v>
      </c>
      <c r="W124" s="6" t="s">
        <v>1640</v>
      </c>
      <c r="X124" s="7">
        <v>45934</v>
      </c>
      <c r="Y124">
        <v>0</v>
      </c>
      <c r="Z124" s="6" t="s">
        <v>1638</v>
      </c>
      <c r="AA124" s="6">
        <f>IFERROR(VLOOKUP(B124,BD_Clez_Premigracion!C:C,1,FALSE),"No encontrado")</f>
        <v>1090443270</v>
      </c>
    </row>
    <row r="125" spans="1:27" x14ac:dyDescent="0.25">
      <c r="A125">
        <v>2298</v>
      </c>
      <c r="B125">
        <v>1093590952</v>
      </c>
      <c r="C125">
        <v>1</v>
      </c>
      <c r="D125" s="6" t="s">
        <v>2026</v>
      </c>
      <c r="E125" s="6" t="s">
        <v>2027</v>
      </c>
      <c r="F125">
        <v>3138034366</v>
      </c>
      <c r="G125" s="6" t="s">
        <v>2028</v>
      </c>
      <c r="H125" s="6" t="s">
        <v>1638</v>
      </c>
      <c r="I125" s="6" t="s">
        <v>2029</v>
      </c>
      <c r="J125" s="6" t="s">
        <v>1638</v>
      </c>
      <c r="K125" s="7">
        <v>38456</v>
      </c>
      <c r="L125" s="6" t="s">
        <v>1638</v>
      </c>
      <c r="M125">
        <v>1</v>
      </c>
      <c r="N125">
        <v>4</v>
      </c>
      <c r="O125" s="6" t="s">
        <v>1638</v>
      </c>
      <c r="P125" s="6" t="s">
        <v>1638</v>
      </c>
      <c r="Q125" s="6" t="s">
        <v>1638</v>
      </c>
      <c r="R125" s="6" t="s">
        <v>1663</v>
      </c>
      <c r="S125" s="6" t="s">
        <v>2030</v>
      </c>
      <c r="T125" s="6" t="s">
        <v>1721</v>
      </c>
      <c r="U125" s="6" t="s">
        <v>2031</v>
      </c>
      <c r="V125" s="6" t="s">
        <v>1638</v>
      </c>
      <c r="W125" s="6" t="s">
        <v>35</v>
      </c>
      <c r="X125" s="7">
        <v>45935</v>
      </c>
      <c r="Y125">
        <v>0</v>
      </c>
      <c r="Z125" s="6" t="s">
        <v>1709</v>
      </c>
      <c r="AA125" s="6" t="str">
        <f>IFERROR(VLOOKUP(B125,BD_Clez_Premigracion!C:C,1,FALSE),"No encontrado")</f>
        <v>No encontrado</v>
      </c>
    </row>
    <row r="126" spans="1:27" x14ac:dyDescent="0.25">
      <c r="A126">
        <v>2299</v>
      </c>
      <c r="B126">
        <v>1090393647</v>
      </c>
      <c r="C126">
        <v>1</v>
      </c>
      <c r="D126" s="6" t="s">
        <v>2032</v>
      </c>
      <c r="E126" s="6" t="s">
        <v>2033</v>
      </c>
      <c r="F126">
        <v>3102388347</v>
      </c>
      <c r="G126" s="6" t="s">
        <v>2034</v>
      </c>
      <c r="H126" s="6" t="s">
        <v>1638</v>
      </c>
      <c r="I126" s="6" t="s">
        <v>2035</v>
      </c>
      <c r="J126" s="6" t="s">
        <v>1638</v>
      </c>
      <c r="K126" s="7">
        <v>32275</v>
      </c>
      <c r="L126" s="6" t="s">
        <v>1638</v>
      </c>
      <c r="M126">
        <v>2</v>
      </c>
      <c r="N126">
        <v>4</v>
      </c>
      <c r="O126" s="6" t="s">
        <v>1638</v>
      </c>
      <c r="P126" s="6" t="s">
        <v>1638</v>
      </c>
      <c r="Q126" s="6" t="s">
        <v>1638</v>
      </c>
      <c r="R126" s="6" t="s">
        <v>1663</v>
      </c>
      <c r="S126" s="6" t="s">
        <v>2036</v>
      </c>
      <c r="T126" s="6" t="s">
        <v>2037</v>
      </c>
      <c r="U126" s="6" t="s">
        <v>2038</v>
      </c>
      <c r="V126" s="6" t="s">
        <v>1638</v>
      </c>
      <c r="W126" s="6" t="s">
        <v>35</v>
      </c>
      <c r="X126" s="7">
        <v>45935</v>
      </c>
      <c r="Y126">
        <v>0</v>
      </c>
      <c r="Z126" s="6" t="s">
        <v>1709</v>
      </c>
      <c r="AA126" s="6" t="str">
        <f>IFERROR(VLOOKUP(B126,BD_Clez_Premigracion!C:C,1,FALSE),"No encontrado")</f>
        <v>No encontrado</v>
      </c>
    </row>
    <row r="127" spans="1:27" x14ac:dyDescent="0.25">
      <c r="A127">
        <v>2267</v>
      </c>
      <c r="B127">
        <v>88233818</v>
      </c>
      <c r="C127">
        <v>1</v>
      </c>
      <c r="D127" s="6" t="s">
        <v>2039</v>
      </c>
      <c r="E127" s="6" t="s">
        <v>2040</v>
      </c>
      <c r="F127">
        <v>3057367122</v>
      </c>
      <c r="G127" s="6" t="s">
        <v>1340</v>
      </c>
      <c r="H127" s="6" t="s">
        <v>1638</v>
      </c>
      <c r="I127" s="6" t="s">
        <v>1638</v>
      </c>
      <c r="J127" s="6" t="s">
        <v>1638</v>
      </c>
      <c r="K127" s="7">
        <v>28779</v>
      </c>
      <c r="L127" s="6" t="s">
        <v>1638</v>
      </c>
      <c r="M127">
        <v>1</v>
      </c>
      <c r="N127">
        <v>6</v>
      </c>
      <c r="O127" s="6" t="s">
        <v>1638</v>
      </c>
      <c r="P127" s="6" t="s">
        <v>1638</v>
      </c>
      <c r="Q127" s="6" t="s">
        <v>1638</v>
      </c>
      <c r="R127" s="6" t="s">
        <v>1638</v>
      </c>
      <c r="S127" s="6" t="s">
        <v>1638</v>
      </c>
      <c r="T127" s="6" t="s">
        <v>1638</v>
      </c>
      <c r="U127" s="6" t="s">
        <v>1638</v>
      </c>
      <c r="V127" s="6" t="s">
        <v>1638</v>
      </c>
      <c r="W127" s="6" t="s">
        <v>1640</v>
      </c>
      <c r="X127" s="7">
        <v>45931</v>
      </c>
      <c r="Y127">
        <v>0</v>
      </c>
      <c r="Z127" s="6" t="s">
        <v>1638</v>
      </c>
      <c r="AA127" s="6">
        <f>IFERROR(VLOOKUP(B127,BD_Clez_Premigracion!C:C,1,FALSE),"No encontrado")</f>
        <v>88233818</v>
      </c>
    </row>
    <row r="128" spans="1:27" x14ac:dyDescent="0.25">
      <c r="A128">
        <v>2300</v>
      </c>
      <c r="B128">
        <v>1005051293</v>
      </c>
      <c r="C128">
        <v>1</v>
      </c>
      <c r="D128" s="6" t="s">
        <v>2041</v>
      </c>
      <c r="E128" s="6" t="s">
        <v>2042</v>
      </c>
      <c r="F128">
        <v>3133119819</v>
      </c>
      <c r="G128" s="6" t="s">
        <v>2043</v>
      </c>
      <c r="H128" s="6" t="s">
        <v>1638</v>
      </c>
      <c r="I128" s="6" t="s">
        <v>2044</v>
      </c>
      <c r="J128" s="6" t="s">
        <v>1638</v>
      </c>
      <c r="K128" s="7">
        <v>36582</v>
      </c>
      <c r="L128" s="6" t="s">
        <v>1638</v>
      </c>
      <c r="M128">
        <v>2</v>
      </c>
      <c r="N128">
        <v>4</v>
      </c>
      <c r="O128" s="6" t="s">
        <v>1638</v>
      </c>
      <c r="P128" s="6" t="s">
        <v>1638</v>
      </c>
      <c r="Q128" s="6" t="s">
        <v>1638</v>
      </c>
      <c r="R128" s="6" t="s">
        <v>1663</v>
      </c>
      <c r="S128" s="6" t="s">
        <v>2045</v>
      </c>
      <c r="T128" s="6" t="s">
        <v>2046</v>
      </c>
      <c r="U128" s="6" t="s">
        <v>2047</v>
      </c>
      <c r="V128" s="6" t="s">
        <v>1638</v>
      </c>
      <c r="W128" s="6" t="s">
        <v>35</v>
      </c>
      <c r="X128" s="7">
        <v>45935</v>
      </c>
      <c r="Y128">
        <v>0</v>
      </c>
      <c r="Z128" s="6" t="s">
        <v>1709</v>
      </c>
      <c r="AA128" s="6" t="str">
        <f>IFERROR(VLOOKUP(B128,BD_Clez_Premigracion!C:C,1,FALSE),"No encontrado")</f>
        <v>No encontrado</v>
      </c>
    </row>
    <row r="129" spans="1:27" x14ac:dyDescent="0.25">
      <c r="A129">
        <v>2302</v>
      </c>
      <c r="B129">
        <v>1090398084</v>
      </c>
      <c r="C129">
        <v>1</v>
      </c>
      <c r="D129" s="6" t="s">
        <v>2048</v>
      </c>
      <c r="E129" s="6" t="s">
        <v>2049</v>
      </c>
      <c r="F129">
        <v>3118430177</v>
      </c>
      <c r="G129" s="6" t="s">
        <v>1020</v>
      </c>
      <c r="H129" s="6" t="s">
        <v>1638</v>
      </c>
      <c r="I129" s="6" t="s">
        <v>1638</v>
      </c>
      <c r="J129" s="6" t="s">
        <v>1638</v>
      </c>
      <c r="K129" s="7">
        <v>32477</v>
      </c>
      <c r="L129" s="6" t="s">
        <v>1638</v>
      </c>
      <c r="M129">
        <v>2</v>
      </c>
      <c r="N129">
        <v>6</v>
      </c>
      <c r="O129" s="6" t="s">
        <v>1638</v>
      </c>
      <c r="P129" s="6" t="s">
        <v>1638</v>
      </c>
      <c r="Q129" s="6" t="s">
        <v>1638</v>
      </c>
      <c r="R129" s="6" t="s">
        <v>1638</v>
      </c>
      <c r="S129" s="6" t="s">
        <v>1638</v>
      </c>
      <c r="T129" s="6" t="s">
        <v>1638</v>
      </c>
      <c r="U129" s="6" t="s">
        <v>1638</v>
      </c>
      <c r="V129" s="6" t="s">
        <v>1638</v>
      </c>
      <c r="W129" s="6" t="s">
        <v>1640</v>
      </c>
      <c r="X129" s="7">
        <v>45936</v>
      </c>
      <c r="Y129">
        <v>0</v>
      </c>
      <c r="Z129" s="6" t="s">
        <v>1638</v>
      </c>
      <c r="AA129" s="6">
        <f>IFERROR(VLOOKUP(B129,BD_Clez_Premigracion!C:C,1,FALSE),"No encontrado")</f>
        <v>1090398084</v>
      </c>
    </row>
    <row r="130" spans="1:27" x14ac:dyDescent="0.25">
      <c r="A130">
        <v>2176</v>
      </c>
      <c r="B130">
        <v>1005372165</v>
      </c>
      <c r="C130">
        <v>1</v>
      </c>
      <c r="D130" s="6" t="s">
        <v>1702</v>
      </c>
      <c r="E130" s="6" t="s">
        <v>1703</v>
      </c>
      <c r="F130">
        <v>3124778011</v>
      </c>
      <c r="G130" s="6" t="s">
        <v>1704</v>
      </c>
      <c r="H130" s="6" t="s">
        <v>1638</v>
      </c>
      <c r="I130" s="6" t="s">
        <v>1705</v>
      </c>
      <c r="J130" s="6" t="s">
        <v>1684</v>
      </c>
      <c r="K130" s="7">
        <v>37020</v>
      </c>
      <c r="L130" s="6" t="s">
        <v>1638</v>
      </c>
      <c r="M130">
        <v>2</v>
      </c>
      <c r="N130">
        <v>3</v>
      </c>
      <c r="O130" s="6" t="s">
        <v>1638</v>
      </c>
      <c r="P130" s="6" t="s">
        <v>1638</v>
      </c>
      <c r="Q130" s="6" t="s">
        <v>1638</v>
      </c>
      <c r="R130" s="6" t="s">
        <v>1663</v>
      </c>
      <c r="S130" s="6" t="s">
        <v>1706</v>
      </c>
      <c r="T130" s="6" t="s">
        <v>1707</v>
      </c>
      <c r="U130" s="6" t="s">
        <v>1708</v>
      </c>
      <c r="V130" s="6" t="s">
        <v>1638</v>
      </c>
      <c r="W130" s="6" t="s">
        <v>35</v>
      </c>
      <c r="X130" s="7">
        <v>45921</v>
      </c>
      <c r="Y130">
        <v>0</v>
      </c>
      <c r="Z130" s="6" t="s">
        <v>1709</v>
      </c>
      <c r="AA130" s="6" t="str">
        <f>IFERROR(VLOOKUP(B130,BD_Clez_Premigracion!C:C,1,FALSE),"No encontrado")</f>
        <v>No encontrado</v>
      </c>
    </row>
    <row r="131" spans="1:27" x14ac:dyDescent="0.25">
      <c r="A131">
        <v>2305</v>
      </c>
      <c r="B131">
        <v>1005106523</v>
      </c>
      <c r="C131">
        <v>1</v>
      </c>
      <c r="D131" s="6" t="s">
        <v>2050</v>
      </c>
      <c r="E131" s="6" t="s">
        <v>2051</v>
      </c>
      <c r="F131">
        <v>3193334006</v>
      </c>
      <c r="G131" s="6" t="s">
        <v>2052</v>
      </c>
      <c r="H131" s="6" t="s">
        <v>1638</v>
      </c>
      <c r="I131" s="6" t="s">
        <v>2053</v>
      </c>
      <c r="J131" s="6" t="s">
        <v>1638</v>
      </c>
      <c r="K131" s="7">
        <v>37401</v>
      </c>
      <c r="L131" s="6" t="s">
        <v>1638</v>
      </c>
      <c r="M131">
        <v>2</v>
      </c>
      <c r="N131">
        <v>10</v>
      </c>
      <c r="O131" s="6" t="s">
        <v>1638</v>
      </c>
      <c r="P131" s="6" t="s">
        <v>1638</v>
      </c>
      <c r="Q131" s="6" t="s">
        <v>1638</v>
      </c>
      <c r="R131" s="6" t="s">
        <v>1848</v>
      </c>
      <c r="S131" s="6" t="s">
        <v>2054</v>
      </c>
      <c r="T131" s="6" t="s">
        <v>1721</v>
      </c>
      <c r="U131" s="6" t="s">
        <v>2055</v>
      </c>
      <c r="V131" s="6" t="s">
        <v>1638</v>
      </c>
      <c r="W131" s="6" t="s">
        <v>35</v>
      </c>
      <c r="X131" s="7">
        <v>45936</v>
      </c>
      <c r="Y131">
        <v>0</v>
      </c>
      <c r="Z131" s="6" t="s">
        <v>1709</v>
      </c>
      <c r="AA131" s="6" t="str">
        <f>IFERROR(VLOOKUP(B131,BD_Clez_Premigracion!C:C,1,FALSE),"No encontrado")</f>
        <v>No encontrado</v>
      </c>
    </row>
    <row r="132" spans="1:27" x14ac:dyDescent="0.25">
      <c r="A132">
        <v>2252</v>
      </c>
      <c r="B132">
        <v>24652281</v>
      </c>
      <c r="C132">
        <v>1</v>
      </c>
      <c r="D132" s="6" t="s">
        <v>2056</v>
      </c>
      <c r="E132" s="6" t="s">
        <v>2057</v>
      </c>
      <c r="F132">
        <v>3125072124</v>
      </c>
      <c r="G132" s="6" t="s">
        <v>144</v>
      </c>
      <c r="H132" s="6" t="s">
        <v>1638</v>
      </c>
      <c r="I132" s="6" t="s">
        <v>1638</v>
      </c>
      <c r="J132" s="6" t="s">
        <v>1638</v>
      </c>
      <c r="K132" s="7">
        <v>31099</v>
      </c>
      <c r="L132" s="6" t="s">
        <v>1638</v>
      </c>
      <c r="M132">
        <v>2</v>
      </c>
      <c r="N132">
        <v>1</v>
      </c>
      <c r="O132" s="6" t="s">
        <v>1638</v>
      </c>
      <c r="P132" s="6" t="s">
        <v>1638</v>
      </c>
      <c r="Q132" s="6" t="s">
        <v>1638</v>
      </c>
      <c r="R132" s="6" t="s">
        <v>1638</v>
      </c>
      <c r="S132" s="6" t="s">
        <v>1638</v>
      </c>
      <c r="T132" s="6" t="s">
        <v>1638</v>
      </c>
      <c r="U132" s="6" t="s">
        <v>1638</v>
      </c>
      <c r="V132" s="6" t="s">
        <v>1638</v>
      </c>
      <c r="W132" s="6" t="s">
        <v>1640</v>
      </c>
      <c r="X132" s="7">
        <v>45930</v>
      </c>
      <c r="Y132">
        <v>0</v>
      </c>
      <c r="Z132" s="6" t="s">
        <v>1638</v>
      </c>
      <c r="AA132" s="6">
        <f>IFERROR(VLOOKUP(B132,BD_Clez_Premigracion!C:C,1,FALSE),"No encontrado")</f>
        <v>24652281</v>
      </c>
    </row>
    <row r="133" spans="1:27" x14ac:dyDescent="0.25">
      <c r="A133">
        <v>2307</v>
      </c>
      <c r="B133">
        <v>1090511537</v>
      </c>
      <c r="C133">
        <v>1</v>
      </c>
      <c r="D133" s="6" t="s">
        <v>2058</v>
      </c>
      <c r="E133" s="6" t="s">
        <v>2059</v>
      </c>
      <c r="F133">
        <v>3218958841</v>
      </c>
      <c r="G133" s="6" t="s">
        <v>2060</v>
      </c>
      <c r="H133" s="6" t="s">
        <v>1638</v>
      </c>
      <c r="I133" s="6" t="s">
        <v>1638</v>
      </c>
      <c r="J133" s="6" t="s">
        <v>1638</v>
      </c>
      <c r="K133" s="7">
        <v>35685</v>
      </c>
      <c r="L133" s="6" t="s">
        <v>1638</v>
      </c>
      <c r="M133">
        <v>2</v>
      </c>
      <c r="N133">
        <v>4</v>
      </c>
      <c r="O133" s="6" t="s">
        <v>1638</v>
      </c>
      <c r="P133" s="6" t="s">
        <v>1638</v>
      </c>
      <c r="Q133" s="6" t="s">
        <v>1638</v>
      </c>
      <c r="R133" s="6" t="s">
        <v>1638</v>
      </c>
      <c r="S133" s="6" t="s">
        <v>1638</v>
      </c>
      <c r="T133" s="6" t="s">
        <v>1638</v>
      </c>
      <c r="U133" s="6" t="s">
        <v>1638</v>
      </c>
      <c r="V133" s="6" t="s">
        <v>1638</v>
      </c>
      <c r="W133" s="6" t="s">
        <v>1640</v>
      </c>
      <c r="X133" s="7">
        <v>45936</v>
      </c>
      <c r="Y133">
        <v>0</v>
      </c>
      <c r="Z133" s="6" t="s">
        <v>1638</v>
      </c>
      <c r="AA133" s="6">
        <f>IFERROR(VLOOKUP(B133,BD_Clez_Premigracion!C:C,1,FALSE),"No encontrado")</f>
        <v>1090511537</v>
      </c>
    </row>
    <row r="134" spans="1:27" x14ac:dyDescent="0.25">
      <c r="A134">
        <v>2308</v>
      </c>
      <c r="B134">
        <v>1102375904</v>
      </c>
      <c r="C134">
        <v>1</v>
      </c>
      <c r="D134" s="6" t="s">
        <v>2061</v>
      </c>
      <c r="E134" s="6" t="s">
        <v>2062</v>
      </c>
      <c r="F134">
        <v>3103431324</v>
      </c>
      <c r="G134" s="6" t="s">
        <v>1129</v>
      </c>
      <c r="H134" s="6" t="s">
        <v>1638</v>
      </c>
      <c r="I134" s="6" t="s">
        <v>1638</v>
      </c>
      <c r="J134" s="6" t="s">
        <v>1638</v>
      </c>
      <c r="K134" s="7">
        <v>34703</v>
      </c>
      <c r="L134" s="6" t="s">
        <v>1638</v>
      </c>
      <c r="M134">
        <v>1</v>
      </c>
      <c r="N134">
        <v>5</v>
      </c>
      <c r="O134" s="6" t="s">
        <v>1638</v>
      </c>
      <c r="P134" s="6" t="s">
        <v>1638</v>
      </c>
      <c r="Q134" s="6" t="s">
        <v>1638</v>
      </c>
      <c r="R134" s="6" t="s">
        <v>1638</v>
      </c>
      <c r="S134" s="6" t="s">
        <v>1638</v>
      </c>
      <c r="T134" s="6" t="s">
        <v>1638</v>
      </c>
      <c r="U134" s="6" t="s">
        <v>1638</v>
      </c>
      <c r="V134" s="6" t="s">
        <v>1638</v>
      </c>
      <c r="W134" s="6" t="s">
        <v>1640</v>
      </c>
      <c r="X134" s="7">
        <v>45936</v>
      </c>
      <c r="Y134">
        <v>0</v>
      </c>
      <c r="Z134" s="6" t="s">
        <v>1638</v>
      </c>
      <c r="AA134" s="6">
        <f>IFERROR(VLOOKUP(B134,BD_Clez_Premigracion!C:C,1,FALSE),"No encontrado")</f>
        <v>1102375904</v>
      </c>
    </row>
    <row r="135" spans="1:27" x14ac:dyDescent="0.25">
      <c r="A135">
        <v>2309</v>
      </c>
      <c r="B135">
        <v>1005163315</v>
      </c>
      <c r="C135">
        <v>1</v>
      </c>
      <c r="D135" s="6" t="s">
        <v>2063</v>
      </c>
      <c r="E135" s="6" t="s">
        <v>2064</v>
      </c>
      <c r="F135">
        <v>3182834196</v>
      </c>
      <c r="G135" s="6" t="s">
        <v>1358</v>
      </c>
      <c r="H135" s="6" t="s">
        <v>1638</v>
      </c>
      <c r="I135" s="6" t="s">
        <v>1638</v>
      </c>
      <c r="J135" s="6" t="s">
        <v>1638</v>
      </c>
      <c r="K135" s="7">
        <v>36290</v>
      </c>
      <c r="L135" s="6" t="s">
        <v>1638</v>
      </c>
      <c r="M135">
        <v>2</v>
      </c>
      <c r="N135">
        <v>3</v>
      </c>
      <c r="O135" s="6" t="s">
        <v>1638</v>
      </c>
      <c r="P135" s="6" t="s">
        <v>1638</v>
      </c>
      <c r="Q135" s="6" t="s">
        <v>1638</v>
      </c>
      <c r="R135" s="6" t="s">
        <v>1638</v>
      </c>
      <c r="S135" s="6" t="s">
        <v>1638</v>
      </c>
      <c r="T135" s="6" t="s">
        <v>1638</v>
      </c>
      <c r="U135" s="6" t="s">
        <v>1638</v>
      </c>
      <c r="V135" s="6" t="s">
        <v>1638</v>
      </c>
      <c r="W135" s="6" t="s">
        <v>1640</v>
      </c>
      <c r="X135" s="7">
        <v>45936</v>
      </c>
      <c r="Y135">
        <v>0</v>
      </c>
      <c r="Z135" s="6" t="s">
        <v>1638</v>
      </c>
      <c r="AA135" s="6">
        <f>IFERROR(VLOOKUP(B135,BD_Clez_Premigracion!C:C,1,FALSE),"No encontrado")</f>
        <v>1005163315</v>
      </c>
    </row>
    <row r="136" spans="1:27" x14ac:dyDescent="0.25">
      <c r="A136">
        <v>2310</v>
      </c>
      <c r="B136">
        <v>1098666487</v>
      </c>
      <c r="C136">
        <v>1</v>
      </c>
      <c r="D136" s="6" t="s">
        <v>2065</v>
      </c>
      <c r="E136" s="6" t="s">
        <v>2066</v>
      </c>
      <c r="F136">
        <v>3224670610</v>
      </c>
      <c r="G136" s="6" t="s">
        <v>2067</v>
      </c>
      <c r="H136" s="6" t="s">
        <v>1638</v>
      </c>
      <c r="I136" s="6" t="s">
        <v>2068</v>
      </c>
      <c r="J136" s="6" t="s">
        <v>1638</v>
      </c>
      <c r="K136" s="7">
        <v>32358</v>
      </c>
      <c r="L136" s="6" t="s">
        <v>1638</v>
      </c>
      <c r="M136">
        <v>2</v>
      </c>
      <c r="N136">
        <v>3</v>
      </c>
      <c r="O136" s="6" t="s">
        <v>1638</v>
      </c>
      <c r="P136" s="6" t="s">
        <v>1638</v>
      </c>
      <c r="Q136" s="6" t="s">
        <v>1638</v>
      </c>
      <c r="R136" s="6" t="s">
        <v>1639</v>
      </c>
      <c r="S136" s="6" t="s">
        <v>2069</v>
      </c>
      <c r="T136" s="6" t="s">
        <v>1721</v>
      </c>
      <c r="U136" s="6" t="s">
        <v>2070</v>
      </c>
      <c r="V136" s="6" t="s">
        <v>1638</v>
      </c>
      <c r="W136" s="6" t="s">
        <v>35</v>
      </c>
      <c r="X136" s="7">
        <v>45936</v>
      </c>
      <c r="Y136">
        <v>0</v>
      </c>
      <c r="Z136" s="6" t="s">
        <v>1709</v>
      </c>
      <c r="AA136" s="6" t="str">
        <f>IFERROR(VLOOKUP(B136,BD_Clez_Premigracion!C:C,1,FALSE),"No encontrado")</f>
        <v>No encontrado</v>
      </c>
    </row>
    <row r="137" spans="1:27" x14ac:dyDescent="0.25">
      <c r="A137">
        <v>2311</v>
      </c>
      <c r="B137">
        <v>1097109207</v>
      </c>
      <c r="C137">
        <v>3</v>
      </c>
      <c r="D137" s="6" t="s">
        <v>1636</v>
      </c>
      <c r="E137" s="6" t="s">
        <v>2071</v>
      </c>
      <c r="F137">
        <v>3046481368</v>
      </c>
      <c r="G137" s="6" t="s">
        <v>2072</v>
      </c>
      <c r="H137" s="6" t="s">
        <v>1638</v>
      </c>
      <c r="I137" s="6" t="s">
        <v>2073</v>
      </c>
      <c r="J137" s="6" t="s">
        <v>1638</v>
      </c>
      <c r="K137" s="7">
        <v>40379</v>
      </c>
      <c r="L137" s="6" t="s">
        <v>1638</v>
      </c>
      <c r="M137">
        <v>1</v>
      </c>
      <c r="N137">
        <v>5</v>
      </c>
      <c r="O137" s="6" t="s">
        <v>1638</v>
      </c>
      <c r="P137" s="6" t="s">
        <v>1638</v>
      </c>
      <c r="Q137" s="6" t="s">
        <v>1638</v>
      </c>
      <c r="R137" s="6" t="s">
        <v>1695</v>
      </c>
      <c r="S137" s="6" t="s">
        <v>2074</v>
      </c>
      <c r="T137" s="6" t="s">
        <v>1721</v>
      </c>
      <c r="U137" s="6" t="s">
        <v>2075</v>
      </c>
      <c r="V137" s="6" t="s">
        <v>1638</v>
      </c>
      <c r="W137" s="6" t="s">
        <v>35</v>
      </c>
      <c r="X137" s="7">
        <v>45936</v>
      </c>
      <c r="Y137">
        <v>0</v>
      </c>
      <c r="Z137" s="6" t="s">
        <v>1709</v>
      </c>
      <c r="AA137" s="6" t="str">
        <f>IFERROR(VLOOKUP(B137,BD_Clez_Premigracion!C:C,1,FALSE),"No encontrado")</f>
        <v>No encontrado</v>
      </c>
    </row>
    <row r="138" spans="1:27" x14ac:dyDescent="0.25">
      <c r="A138">
        <v>2312</v>
      </c>
      <c r="B138">
        <v>1097912477</v>
      </c>
      <c r="C138">
        <v>3</v>
      </c>
      <c r="D138" s="6" t="s">
        <v>2076</v>
      </c>
      <c r="E138" s="6" t="s">
        <v>2077</v>
      </c>
      <c r="F138">
        <v>3012814637</v>
      </c>
      <c r="G138" s="6" t="s">
        <v>2078</v>
      </c>
      <c r="H138" s="6" t="s">
        <v>1638</v>
      </c>
      <c r="I138" s="6" t="s">
        <v>2079</v>
      </c>
      <c r="J138" s="6" t="s">
        <v>1638</v>
      </c>
      <c r="K138" s="7">
        <v>39421</v>
      </c>
      <c r="L138" s="6" t="s">
        <v>1638</v>
      </c>
      <c r="M138">
        <v>1</v>
      </c>
      <c r="N138">
        <v>5</v>
      </c>
      <c r="O138" s="6" t="s">
        <v>1638</v>
      </c>
      <c r="P138" s="6" t="s">
        <v>1638</v>
      </c>
      <c r="Q138" s="6" t="s">
        <v>1638</v>
      </c>
      <c r="R138" s="6" t="s">
        <v>1848</v>
      </c>
      <c r="S138" s="6" t="s">
        <v>2080</v>
      </c>
      <c r="T138" s="6" t="s">
        <v>1721</v>
      </c>
      <c r="U138" s="6" t="s">
        <v>2081</v>
      </c>
      <c r="V138" s="6" t="s">
        <v>1638</v>
      </c>
      <c r="W138" s="6" t="s">
        <v>35</v>
      </c>
      <c r="X138" s="7">
        <v>45936</v>
      </c>
      <c r="Y138">
        <v>0</v>
      </c>
      <c r="Z138" s="6" t="s">
        <v>1709</v>
      </c>
      <c r="AA138" s="6" t="str">
        <f>IFERROR(VLOOKUP(B138,BD_Clez_Premigracion!C:C,1,FALSE),"No encontrado")</f>
        <v>No encontrado</v>
      </c>
    </row>
    <row r="139" spans="1:27" x14ac:dyDescent="0.25">
      <c r="A139">
        <v>2315</v>
      </c>
      <c r="B139">
        <v>1098817468</v>
      </c>
      <c r="C139">
        <v>1</v>
      </c>
      <c r="D139" s="6" t="s">
        <v>2082</v>
      </c>
      <c r="E139" s="6" t="s">
        <v>2083</v>
      </c>
      <c r="F139">
        <v>3006938763</v>
      </c>
      <c r="G139" s="6" t="s">
        <v>2084</v>
      </c>
      <c r="H139" s="6" t="s">
        <v>1638</v>
      </c>
      <c r="I139" s="6" t="s">
        <v>1638</v>
      </c>
      <c r="J139" s="6" t="s">
        <v>1638</v>
      </c>
      <c r="K139" s="7">
        <v>36242</v>
      </c>
      <c r="L139" s="6" t="s">
        <v>1638</v>
      </c>
      <c r="M139">
        <v>2</v>
      </c>
      <c r="N139">
        <v>3</v>
      </c>
      <c r="O139" s="6" t="s">
        <v>1638</v>
      </c>
      <c r="P139" s="6" t="s">
        <v>1638</v>
      </c>
      <c r="Q139" s="6" t="s">
        <v>1638</v>
      </c>
      <c r="R139" s="6" t="s">
        <v>1638</v>
      </c>
      <c r="S139" s="6" t="s">
        <v>1638</v>
      </c>
      <c r="T139" s="6" t="s">
        <v>1638</v>
      </c>
      <c r="U139" s="6" t="s">
        <v>1638</v>
      </c>
      <c r="V139" s="6" t="s">
        <v>1638</v>
      </c>
      <c r="W139" s="6" t="s">
        <v>1640</v>
      </c>
      <c r="X139" s="7">
        <v>45936</v>
      </c>
      <c r="Y139">
        <v>0</v>
      </c>
      <c r="Z139" s="6" t="s">
        <v>1638</v>
      </c>
      <c r="AA139" s="6">
        <f>IFERROR(VLOOKUP(B139,BD_Clez_Premigracion!C:C,1,FALSE),"No encontrado")</f>
        <v>1098817468</v>
      </c>
    </row>
    <row r="140" spans="1:27" x14ac:dyDescent="0.25">
      <c r="A140">
        <v>2316</v>
      </c>
      <c r="B140">
        <v>1010842283</v>
      </c>
      <c r="C140">
        <v>3</v>
      </c>
      <c r="D140" s="6" t="s">
        <v>2085</v>
      </c>
      <c r="E140" s="6" t="s">
        <v>2086</v>
      </c>
      <c r="F140">
        <v>3228904885</v>
      </c>
      <c r="G140" s="6" t="s">
        <v>2087</v>
      </c>
      <c r="H140" s="6" t="s">
        <v>1638</v>
      </c>
      <c r="I140" s="6" t="s">
        <v>2088</v>
      </c>
      <c r="J140" s="6" t="s">
        <v>1638</v>
      </c>
      <c r="K140" s="7">
        <v>40368</v>
      </c>
      <c r="L140" s="6" t="s">
        <v>1638</v>
      </c>
      <c r="M140">
        <v>1</v>
      </c>
      <c r="N140">
        <v>4</v>
      </c>
      <c r="O140" s="6" t="s">
        <v>1638</v>
      </c>
      <c r="P140" s="6" t="s">
        <v>1638</v>
      </c>
      <c r="Q140" s="6" t="s">
        <v>1638</v>
      </c>
      <c r="R140" s="6" t="s">
        <v>1663</v>
      </c>
      <c r="S140" s="6" t="s">
        <v>2089</v>
      </c>
      <c r="T140" s="6" t="s">
        <v>1721</v>
      </c>
      <c r="U140" s="6" t="s">
        <v>2090</v>
      </c>
      <c r="V140" s="6" t="s">
        <v>1638</v>
      </c>
      <c r="W140" s="6" t="s">
        <v>35</v>
      </c>
      <c r="X140" s="7">
        <v>45936</v>
      </c>
      <c r="Y140">
        <v>0</v>
      </c>
      <c r="Z140" s="6" t="s">
        <v>1709</v>
      </c>
      <c r="AA140" s="6">
        <f>IFERROR(VLOOKUP(B140,BD_Clez_Premigracion!C:C,1,FALSE),"No encontrado")</f>
        <v>1010842283</v>
      </c>
    </row>
    <row r="141" spans="1:27" x14ac:dyDescent="0.25">
      <c r="A141">
        <v>2317</v>
      </c>
      <c r="B141">
        <v>1149459468</v>
      </c>
      <c r="C141">
        <v>1</v>
      </c>
      <c r="D141" s="6" t="s">
        <v>2091</v>
      </c>
      <c r="E141" s="6" t="s">
        <v>2092</v>
      </c>
      <c r="F141">
        <v>3123650771</v>
      </c>
      <c r="G141" s="6" t="s">
        <v>2093</v>
      </c>
      <c r="H141" s="6" t="s">
        <v>1638</v>
      </c>
      <c r="I141" s="6" t="s">
        <v>1638</v>
      </c>
      <c r="J141" s="6" t="s">
        <v>1638</v>
      </c>
      <c r="K141" s="7">
        <v>37526</v>
      </c>
      <c r="L141" s="6" t="s">
        <v>1638</v>
      </c>
      <c r="M141">
        <v>1</v>
      </c>
      <c r="N141">
        <v>6</v>
      </c>
      <c r="O141" s="6" t="s">
        <v>1638</v>
      </c>
      <c r="P141" s="6" t="s">
        <v>1638</v>
      </c>
      <c r="Q141" s="6" t="s">
        <v>1638</v>
      </c>
      <c r="R141" s="6" t="s">
        <v>1638</v>
      </c>
      <c r="S141" s="6" t="s">
        <v>1638</v>
      </c>
      <c r="T141" s="6" t="s">
        <v>1638</v>
      </c>
      <c r="U141" s="6" t="s">
        <v>1638</v>
      </c>
      <c r="V141" s="6" t="s">
        <v>1638</v>
      </c>
      <c r="W141" s="6" t="s">
        <v>1640</v>
      </c>
      <c r="X141" s="7">
        <v>45936</v>
      </c>
      <c r="Y141">
        <v>0</v>
      </c>
      <c r="Z141" s="6" t="s">
        <v>1638</v>
      </c>
      <c r="AA141" s="6">
        <f>IFERROR(VLOOKUP(B141,BD_Clez_Premigracion!C:C,1,FALSE),"No encontrado")</f>
        <v>1149459468</v>
      </c>
    </row>
    <row r="142" spans="1:27" x14ac:dyDescent="0.25">
      <c r="A142">
        <v>2319</v>
      </c>
      <c r="B142">
        <v>1115720619</v>
      </c>
      <c r="C142">
        <v>1</v>
      </c>
      <c r="D142" s="6" t="s">
        <v>2094</v>
      </c>
      <c r="E142" s="6" t="s">
        <v>2095</v>
      </c>
      <c r="F142">
        <v>3176783272</v>
      </c>
      <c r="G142" s="6" t="s">
        <v>2096</v>
      </c>
      <c r="H142" s="6" t="s">
        <v>1638</v>
      </c>
      <c r="I142" s="6" t="s">
        <v>1638</v>
      </c>
      <c r="J142" s="6" t="s">
        <v>1638</v>
      </c>
      <c r="K142" s="7">
        <v>37826</v>
      </c>
      <c r="L142" s="6" t="s">
        <v>1638</v>
      </c>
      <c r="M142">
        <v>2</v>
      </c>
      <c r="N142">
        <v>1</v>
      </c>
      <c r="O142" s="6" t="s">
        <v>1638</v>
      </c>
      <c r="P142" s="6" t="s">
        <v>1638</v>
      </c>
      <c r="Q142" s="6" t="s">
        <v>1638</v>
      </c>
      <c r="R142" s="6" t="s">
        <v>1638</v>
      </c>
      <c r="S142" s="6" t="s">
        <v>1638</v>
      </c>
      <c r="T142" s="6" t="s">
        <v>1638</v>
      </c>
      <c r="U142" s="6" t="s">
        <v>1638</v>
      </c>
      <c r="V142" s="6" t="s">
        <v>1638</v>
      </c>
      <c r="W142" s="6" t="s">
        <v>1640</v>
      </c>
      <c r="X142" s="7">
        <v>45936</v>
      </c>
      <c r="Y142">
        <v>0</v>
      </c>
      <c r="Z142" s="6" t="s">
        <v>1638</v>
      </c>
      <c r="AA142" s="6">
        <f>IFERROR(VLOOKUP(B142,BD_Clez_Premigracion!C:C,1,FALSE),"No encontrado")</f>
        <v>1115720619</v>
      </c>
    </row>
    <row r="143" spans="1:27" x14ac:dyDescent="0.25">
      <c r="A143">
        <v>2320</v>
      </c>
      <c r="B143">
        <v>1097490380</v>
      </c>
      <c r="C143">
        <v>1</v>
      </c>
      <c r="D143" s="6" t="s">
        <v>2097</v>
      </c>
      <c r="E143" s="6" t="s">
        <v>2098</v>
      </c>
      <c r="F143">
        <v>3174808163</v>
      </c>
      <c r="G143" s="6" t="s">
        <v>2099</v>
      </c>
      <c r="H143" s="6" t="s">
        <v>1638</v>
      </c>
      <c r="I143" s="6" t="s">
        <v>1638</v>
      </c>
      <c r="J143" s="6" t="s">
        <v>1638</v>
      </c>
      <c r="K143" s="7">
        <v>38367</v>
      </c>
      <c r="L143" s="6" t="s">
        <v>1638</v>
      </c>
      <c r="M143">
        <v>1</v>
      </c>
      <c r="N143">
        <v>2</v>
      </c>
      <c r="O143" s="6" t="s">
        <v>1638</v>
      </c>
      <c r="P143" s="6" t="s">
        <v>1638</v>
      </c>
      <c r="Q143" s="6" t="s">
        <v>1638</v>
      </c>
      <c r="R143" s="6" t="s">
        <v>1638</v>
      </c>
      <c r="S143" s="6" t="s">
        <v>1638</v>
      </c>
      <c r="T143" s="6" t="s">
        <v>1638</v>
      </c>
      <c r="U143" s="6" t="s">
        <v>1638</v>
      </c>
      <c r="V143" s="6" t="s">
        <v>1638</v>
      </c>
      <c r="W143" s="6" t="s">
        <v>1640</v>
      </c>
      <c r="X143" s="7">
        <v>45936</v>
      </c>
      <c r="Y143">
        <v>0</v>
      </c>
      <c r="Z143" s="6" t="s">
        <v>1638</v>
      </c>
      <c r="AA143" s="6" t="str">
        <f>IFERROR(VLOOKUP(B143,BD_Clez_Premigracion!C:C,1,FALSE),"No encontrado")</f>
        <v>No encontrado</v>
      </c>
    </row>
    <row r="144" spans="1:27" x14ac:dyDescent="0.25">
      <c r="A144">
        <v>2321</v>
      </c>
      <c r="B144">
        <v>1005288015</v>
      </c>
      <c r="C144">
        <v>1</v>
      </c>
      <c r="D144" s="6" t="s">
        <v>2100</v>
      </c>
      <c r="E144" s="6" t="s">
        <v>2101</v>
      </c>
      <c r="F144">
        <v>3173016819</v>
      </c>
      <c r="G144" s="6" t="s">
        <v>2102</v>
      </c>
      <c r="H144" s="6" t="s">
        <v>1638</v>
      </c>
      <c r="I144" s="6" t="s">
        <v>2103</v>
      </c>
      <c r="J144" s="6" t="s">
        <v>1638</v>
      </c>
      <c r="K144" s="7">
        <v>37068</v>
      </c>
      <c r="L144" s="6" t="s">
        <v>1638</v>
      </c>
      <c r="M144">
        <v>2</v>
      </c>
      <c r="N144">
        <v>5</v>
      </c>
      <c r="O144" s="6" t="s">
        <v>1638</v>
      </c>
      <c r="P144" s="6" t="s">
        <v>1638</v>
      </c>
      <c r="Q144" s="6" t="s">
        <v>1638</v>
      </c>
      <c r="R144" s="6" t="s">
        <v>1815</v>
      </c>
      <c r="S144" s="6" t="s">
        <v>2104</v>
      </c>
      <c r="T144" s="6" t="s">
        <v>1842</v>
      </c>
      <c r="U144" s="6" t="s">
        <v>2105</v>
      </c>
      <c r="V144" s="6" t="s">
        <v>1638</v>
      </c>
      <c r="W144" s="6" t="s">
        <v>35</v>
      </c>
      <c r="X144" s="7">
        <v>45936</v>
      </c>
      <c r="Y144">
        <v>0</v>
      </c>
      <c r="Z144" s="6" t="s">
        <v>2106</v>
      </c>
      <c r="AA144" s="6" t="str">
        <f>IFERROR(VLOOKUP(B144,BD_Clez_Premigracion!C:C,1,FALSE),"No encontrado")</f>
        <v>No encontrado</v>
      </c>
    </row>
    <row r="145" spans="1:27" x14ac:dyDescent="0.25">
      <c r="A145">
        <v>2322</v>
      </c>
      <c r="B145">
        <v>1005066160</v>
      </c>
      <c r="C145">
        <v>1</v>
      </c>
      <c r="D145" s="6" t="s">
        <v>2107</v>
      </c>
      <c r="E145" s="6" t="s">
        <v>2108</v>
      </c>
      <c r="F145">
        <v>3212512443</v>
      </c>
      <c r="G145" s="6" t="s">
        <v>2109</v>
      </c>
      <c r="H145" s="6" t="s">
        <v>1638</v>
      </c>
      <c r="I145" s="6" t="s">
        <v>1638</v>
      </c>
      <c r="J145" s="6" t="s">
        <v>1638</v>
      </c>
      <c r="K145" s="7">
        <v>36732</v>
      </c>
      <c r="L145" s="6" t="s">
        <v>1638</v>
      </c>
      <c r="M145">
        <v>1</v>
      </c>
      <c r="N145">
        <v>6</v>
      </c>
      <c r="O145" s="6" t="s">
        <v>1638</v>
      </c>
      <c r="P145" s="6" t="s">
        <v>1638</v>
      </c>
      <c r="Q145" s="6" t="s">
        <v>1638</v>
      </c>
      <c r="R145" s="6" t="s">
        <v>1638</v>
      </c>
      <c r="S145" s="6" t="s">
        <v>1638</v>
      </c>
      <c r="T145" s="6" t="s">
        <v>1638</v>
      </c>
      <c r="U145" s="6" t="s">
        <v>1638</v>
      </c>
      <c r="V145" s="6" t="s">
        <v>1638</v>
      </c>
      <c r="W145" s="6" t="s">
        <v>1640</v>
      </c>
      <c r="X145" s="7">
        <v>45936</v>
      </c>
      <c r="Y145">
        <v>0</v>
      </c>
      <c r="Z145" s="6" t="s">
        <v>1638</v>
      </c>
      <c r="AA145" s="6">
        <f>IFERROR(VLOOKUP(B145,BD_Clez_Premigracion!C:C,1,FALSE),"No encontrado")</f>
        <v>1005066160</v>
      </c>
    </row>
    <row r="146" spans="1:27" x14ac:dyDescent="0.25">
      <c r="A146">
        <v>2325</v>
      </c>
      <c r="B146">
        <v>1097500207</v>
      </c>
      <c r="C146">
        <v>3</v>
      </c>
      <c r="D146" s="6" t="s">
        <v>2110</v>
      </c>
      <c r="E146" s="6" t="s">
        <v>2111</v>
      </c>
      <c r="F146">
        <v>3193834480</v>
      </c>
      <c r="G146" s="6" t="s">
        <v>2112</v>
      </c>
      <c r="H146" s="6" t="s">
        <v>1638</v>
      </c>
      <c r="I146" s="6" t="s">
        <v>1638</v>
      </c>
      <c r="J146" s="6" t="s">
        <v>1638</v>
      </c>
      <c r="K146" s="7">
        <v>39778</v>
      </c>
      <c r="L146" s="6" t="s">
        <v>1638</v>
      </c>
      <c r="M146">
        <v>2</v>
      </c>
      <c r="N146">
        <v>10</v>
      </c>
      <c r="O146" s="6" t="s">
        <v>1638</v>
      </c>
      <c r="P146" s="6" t="s">
        <v>1638</v>
      </c>
      <c r="Q146" s="6" t="s">
        <v>1638</v>
      </c>
      <c r="R146" s="6" t="s">
        <v>1638</v>
      </c>
      <c r="S146" s="6" t="s">
        <v>1638</v>
      </c>
      <c r="T146" s="6" t="s">
        <v>1638</v>
      </c>
      <c r="U146" s="6" t="s">
        <v>1638</v>
      </c>
      <c r="V146" s="6" t="s">
        <v>1638</v>
      </c>
      <c r="W146" s="6" t="s">
        <v>1640</v>
      </c>
      <c r="X146" s="7">
        <v>45937</v>
      </c>
      <c r="Y146">
        <v>0</v>
      </c>
      <c r="Z146" s="6" t="s">
        <v>1638</v>
      </c>
      <c r="AA146" s="6" t="str">
        <f>IFERROR(VLOOKUP(B146,BD_Clez_Premigracion!C:C,1,FALSE),"No encontrado")</f>
        <v>No encontrado</v>
      </c>
    </row>
    <row r="147" spans="1:27" x14ac:dyDescent="0.25">
      <c r="A147">
        <v>2303</v>
      </c>
      <c r="B147">
        <v>1098627264</v>
      </c>
      <c r="C147">
        <v>1</v>
      </c>
      <c r="D147" s="6" t="s">
        <v>2113</v>
      </c>
      <c r="E147" s="6" t="s">
        <v>2114</v>
      </c>
      <c r="F147">
        <v>3153360299</v>
      </c>
      <c r="G147" s="6" t="s">
        <v>2115</v>
      </c>
      <c r="H147" s="6" t="s">
        <v>1638</v>
      </c>
      <c r="I147" s="6" t="s">
        <v>1638</v>
      </c>
      <c r="J147" s="6" t="s">
        <v>1638</v>
      </c>
      <c r="K147" s="7">
        <v>38341</v>
      </c>
      <c r="L147" s="6" t="s">
        <v>1638</v>
      </c>
      <c r="M147">
        <v>2</v>
      </c>
      <c r="N147">
        <v>9</v>
      </c>
      <c r="O147" s="6" t="s">
        <v>1638</v>
      </c>
      <c r="P147" s="6" t="s">
        <v>1638</v>
      </c>
      <c r="Q147" s="6" t="s">
        <v>1638</v>
      </c>
      <c r="R147" s="6" t="s">
        <v>1638</v>
      </c>
      <c r="S147" s="6" t="s">
        <v>1638</v>
      </c>
      <c r="T147" s="6" t="s">
        <v>1638</v>
      </c>
      <c r="U147" s="6" t="s">
        <v>1638</v>
      </c>
      <c r="V147" s="6" t="s">
        <v>1638</v>
      </c>
      <c r="W147" s="6" t="s">
        <v>1640</v>
      </c>
      <c r="X147" s="7">
        <v>45936</v>
      </c>
      <c r="Y147">
        <v>0</v>
      </c>
      <c r="Z147" s="6" t="s">
        <v>1638</v>
      </c>
      <c r="AA147" s="6" t="str">
        <f>IFERROR(VLOOKUP(B147,BD_Clez_Premigracion!C:C,1,FALSE),"No encontrado")</f>
        <v>No encontrado</v>
      </c>
    </row>
    <row r="148" spans="1:27" x14ac:dyDescent="0.25">
      <c r="A148">
        <v>2327</v>
      </c>
      <c r="B148">
        <v>13874174</v>
      </c>
      <c r="C148">
        <v>1</v>
      </c>
      <c r="D148" s="6" t="s">
        <v>2116</v>
      </c>
      <c r="E148" s="6" t="s">
        <v>2117</v>
      </c>
      <c r="F148">
        <v>3246571118</v>
      </c>
      <c r="G148" s="6" t="s">
        <v>2118</v>
      </c>
      <c r="H148" s="6" t="s">
        <v>1638</v>
      </c>
      <c r="I148" s="6" t="s">
        <v>1638</v>
      </c>
      <c r="J148" s="6" t="s">
        <v>1638</v>
      </c>
      <c r="K148" s="7">
        <v>29942</v>
      </c>
      <c r="L148" s="6" t="s">
        <v>1638</v>
      </c>
      <c r="M148">
        <v>1</v>
      </c>
      <c r="N148">
        <v>10</v>
      </c>
      <c r="O148" s="6" t="s">
        <v>1638</v>
      </c>
      <c r="P148" s="6" t="s">
        <v>1638</v>
      </c>
      <c r="Q148" s="6" t="s">
        <v>1638</v>
      </c>
      <c r="R148" s="6" t="s">
        <v>1638</v>
      </c>
      <c r="S148" s="6" t="s">
        <v>1638</v>
      </c>
      <c r="T148" s="6" t="s">
        <v>1638</v>
      </c>
      <c r="U148" s="6" t="s">
        <v>1638</v>
      </c>
      <c r="V148" s="6" t="s">
        <v>1638</v>
      </c>
      <c r="W148" s="6" t="s">
        <v>1640</v>
      </c>
      <c r="X148" s="7">
        <v>45937</v>
      </c>
      <c r="Y148">
        <v>0</v>
      </c>
      <c r="Z148" s="6" t="s">
        <v>1638</v>
      </c>
      <c r="AA148" s="6" t="str">
        <f>IFERROR(VLOOKUP(B148,BD_Clez_Premigracion!C:C,1,FALSE),"No encontrado")</f>
        <v>No encontrado</v>
      </c>
    </row>
    <row r="149" spans="1:27" x14ac:dyDescent="0.25">
      <c r="A149">
        <v>2329</v>
      </c>
      <c r="B149">
        <v>1127047882</v>
      </c>
      <c r="C149">
        <v>1</v>
      </c>
      <c r="D149" s="6" t="s">
        <v>2119</v>
      </c>
      <c r="E149" s="6" t="s">
        <v>2120</v>
      </c>
      <c r="F149">
        <v>3005297655</v>
      </c>
      <c r="G149" s="6" t="s">
        <v>2121</v>
      </c>
      <c r="H149" s="6" t="s">
        <v>1638</v>
      </c>
      <c r="I149" s="6" t="s">
        <v>1638</v>
      </c>
      <c r="J149" s="6" t="s">
        <v>1638</v>
      </c>
      <c r="K149" s="7">
        <v>38474</v>
      </c>
      <c r="L149" s="6" t="s">
        <v>1638</v>
      </c>
      <c r="M149">
        <v>1</v>
      </c>
      <c r="N149">
        <v>6</v>
      </c>
      <c r="O149" s="6" t="s">
        <v>1638</v>
      </c>
      <c r="P149" s="6" t="s">
        <v>1638</v>
      </c>
      <c r="Q149" s="6" t="s">
        <v>1638</v>
      </c>
      <c r="R149" s="6" t="s">
        <v>1638</v>
      </c>
      <c r="S149" s="6" t="s">
        <v>1638</v>
      </c>
      <c r="T149" s="6" t="s">
        <v>1638</v>
      </c>
      <c r="U149" s="6" t="s">
        <v>1638</v>
      </c>
      <c r="V149" s="6" t="s">
        <v>1638</v>
      </c>
      <c r="W149" s="6" t="s">
        <v>1640</v>
      </c>
      <c r="X149" s="7">
        <v>45937</v>
      </c>
      <c r="Y149">
        <v>0</v>
      </c>
      <c r="Z149" s="6" t="s">
        <v>1638</v>
      </c>
      <c r="AA149" s="6">
        <f>IFERROR(VLOOKUP(B149,BD_Clez_Premigracion!C:C,1,FALSE),"No encontrado")</f>
        <v>1127047882</v>
      </c>
    </row>
    <row r="150" spans="1:27" x14ac:dyDescent="0.25">
      <c r="A150">
        <v>2330</v>
      </c>
      <c r="B150">
        <v>1093592999</v>
      </c>
      <c r="C150">
        <v>1</v>
      </c>
      <c r="D150" s="6" t="s">
        <v>2122</v>
      </c>
      <c r="E150" s="6" t="s">
        <v>2123</v>
      </c>
      <c r="F150">
        <v>3145824033</v>
      </c>
      <c r="G150" s="6" t="s">
        <v>2124</v>
      </c>
      <c r="H150" s="6" t="s">
        <v>1638</v>
      </c>
      <c r="I150" s="6" t="s">
        <v>1638</v>
      </c>
      <c r="J150" s="6" t="s">
        <v>1638</v>
      </c>
      <c r="K150" s="7">
        <v>38809</v>
      </c>
      <c r="L150" s="6" t="s">
        <v>1638</v>
      </c>
      <c r="M150">
        <v>1</v>
      </c>
      <c r="N150">
        <v>6</v>
      </c>
      <c r="O150" s="6" t="s">
        <v>1638</v>
      </c>
      <c r="P150" s="6" t="s">
        <v>1638</v>
      </c>
      <c r="Q150" s="6" t="s">
        <v>1638</v>
      </c>
      <c r="R150" s="6" t="s">
        <v>1638</v>
      </c>
      <c r="S150" s="6" t="s">
        <v>1638</v>
      </c>
      <c r="T150" s="6" t="s">
        <v>1638</v>
      </c>
      <c r="U150" s="6" t="s">
        <v>1638</v>
      </c>
      <c r="V150" s="6" t="s">
        <v>1638</v>
      </c>
      <c r="W150" s="6" t="s">
        <v>1640</v>
      </c>
      <c r="X150" s="7">
        <v>45937</v>
      </c>
      <c r="Y150">
        <v>0</v>
      </c>
      <c r="Z150" s="6" t="s">
        <v>1638</v>
      </c>
      <c r="AA150" s="6" t="str">
        <f>IFERROR(VLOOKUP(B150,BD_Clez_Premigracion!C:C,1,FALSE),"No encontrado")</f>
        <v>No encontrado</v>
      </c>
    </row>
    <row r="151" spans="1:27" x14ac:dyDescent="0.25">
      <c r="A151">
        <v>2331</v>
      </c>
      <c r="B151">
        <v>1004924999</v>
      </c>
      <c r="C151">
        <v>1</v>
      </c>
      <c r="D151" s="6" t="s">
        <v>2125</v>
      </c>
      <c r="E151" s="6" t="s">
        <v>2126</v>
      </c>
      <c r="F151">
        <v>3144637499</v>
      </c>
      <c r="G151" s="6" t="s">
        <v>2127</v>
      </c>
      <c r="H151" s="6" t="s">
        <v>1638</v>
      </c>
      <c r="I151" s="6" t="s">
        <v>1638</v>
      </c>
      <c r="J151" s="6" t="s">
        <v>1638</v>
      </c>
      <c r="K151" s="7">
        <v>37466</v>
      </c>
      <c r="L151" s="6" t="s">
        <v>1638</v>
      </c>
      <c r="M151">
        <v>2</v>
      </c>
      <c r="N151">
        <v>6</v>
      </c>
      <c r="O151" s="6" t="s">
        <v>1638</v>
      </c>
      <c r="P151" s="6" t="s">
        <v>1638</v>
      </c>
      <c r="Q151" s="6" t="s">
        <v>1638</v>
      </c>
      <c r="R151" s="6" t="s">
        <v>1638</v>
      </c>
      <c r="S151" s="6" t="s">
        <v>1638</v>
      </c>
      <c r="T151" s="6" t="s">
        <v>1638</v>
      </c>
      <c r="U151" s="6" t="s">
        <v>1638</v>
      </c>
      <c r="V151" s="6" t="s">
        <v>1638</v>
      </c>
      <c r="W151" s="6" t="s">
        <v>35</v>
      </c>
      <c r="X151" s="7">
        <v>45937</v>
      </c>
      <c r="Y151">
        <v>0</v>
      </c>
      <c r="Z151" s="6" t="s">
        <v>1638</v>
      </c>
      <c r="AA151" s="6">
        <f>IFERROR(VLOOKUP(B151,BD_Clez_Premigracion!C:C,1,FALSE),"No encontrado")</f>
        <v>1004924999</v>
      </c>
    </row>
    <row r="152" spans="1:27" x14ac:dyDescent="0.25">
      <c r="A152">
        <v>2332</v>
      </c>
      <c r="B152">
        <v>1091354872</v>
      </c>
      <c r="C152">
        <v>1</v>
      </c>
      <c r="D152" s="6" t="s">
        <v>2128</v>
      </c>
      <c r="E152" s="6" t="s">
        <v>2129</v>
      </c>
      <c r="F152">
        <v>3160800067</v>
      </c>
      <c r="G152" s="6" t="s">
        <v>988</v>
      </c>
      <c r="H152" s="6" t="s">
        <v>1638</v>
      </c>
      <c r="I152" s="6" t="s">
        <v>1638</v>
      </c>
      <c r="J152" s="6" t="s">
        <v>1638</v>
      </c>
      <c r="K152" s="7">
        <v>38434</v>
      </c>
      <c r="L152" s="6" t="s">
        <v>1638</v>
      </c>
      <c r="M152">
        <v>1</v>
      </c>
      <c r="N152">
        <v>6</v>
      </c>
      <c r="O152" s="6" t="s">
        <v>1638</v>
      </c>
      <c r="P152" s="6" t="s">
        <v>1638</v>
      </c>
      <c r="Q152" s="6" t="s">
        <v>1638</v>
      </c>
      <c r="R152" s="6" t="s">
        <v>1638</v>
      </c>
      <c r="S152" s="6" t="s">
        <v>1638</v>
      </c>
      <c r="T152" s="6" t="s">
        <v>1638</v>
      </c>
      <c r="U152" s="6" t="s">
        <v>1638</v>
      </c>
      <c r="V152" s="6" t="s">
        <v>1638</v>
      </c>
      <c r="W152" s="6" t="s">
        <v>35</v>
      </c>
      <c r="X152" s="7">
        <v>45937</v>
      </c>
      <c r="Y152">
        <v>0</v>
      </c>
      <c r="Z152" s="6" t="s">
        <v>1638</v>
      </c>
      <c r="AA152" s="6">
        <f>IFERROR(VLOOKUP(B152,BD_Clez_Premigracion!C:C,1,FALSE),"No encontrado")</f>
        <v>1091354872</v>
      </c>
    </row>
    <row r="153" spans="1:27" x14ac:dyDescent="0.25">
      <c r="A153">
        <v>2334</v>
      </c>
      <c r="B153">
        <v>1097109853</v>
      </c>
      <c r="C153">
        <v>3</v>
      </c>
      <c r="D153" s="6" t="s">
        <v>2130</v>
      </c>
      <c r="E153" s="6" t="s">
        <v>2131</v>
      </c>
      <c r="F153">
        <v>3208568360</v>
      </c>
      <c r="G153" s="6" t="s">
        <v>1071</v>
      </c>
      <c r="H153" s="6" t="s">
        <v>1638</v>
      </c>
      <c r="I153" s="6" t="s">
        <v>1638</v>
      </c>
      <c r="J153" s="6" t="s">
        <v>1638</v>
      </c>
      <c r="K153" s="7">
        <v>40443</v>
      </c>
      <c r="L153" s="6" t="s">
        <v>1638</v>
      </c>
      <c r="M153">
        <v>1</v>
      </c>
      <c r="N153">
        <v>2</v>
      </c>
      <c r="O153" s="6" t="s">
        <v>1638</v>
      </c>
      <c r="P153" s="6" t="s">
        <v>1638</v>
      </c>
      <c r="Q153" s="6" t="s">
        <v>1638</v>
      </c>
      <c r="R153" s="6" t="s">
        <v>1638</v>
      </c>
      <c r="S153" s="6" t="s">
        <v>1638</v>
      </c>
      <c r="T153" s="6" t="s">
        <v>1638</v>
      </c>
      <c r="U153" s="6" t="s">
        <v>1638</v>
      </c>
      <c r="V153" s="6" t="s">
        <v>1638</v>
      </c>
      <c r="W153" s="6" t="s">
        <v>35</v>
      </c>
      <c r="X153" s="7">
        <v>45937</v>
      </c>
      <c r="Y153">
        <v>0</v>
      </c>
      <c r="Z153" s="6" t="s">
        <v>1638</v>
      </c>
      <c r="AA153" s="6">
        <f>IFERROR(VLOOKUP(B153,BD_Clez_Premigracion!C:C,1,FALSE),"No encontrado")</f>
        <v>1097109853</v>
      </c>
    </row>
    <row r="154" spans="1:27" x14ac:dyDescent="0.25">
      <c r="A154">
        <v>2296</v>
      </c>
      <c r="B154">
        <v>1007952487</v>
      </c>
      <c r="C154">
        <v>1</v>
      </c>
      <c r="D154" s="6" t="s">
        <v>2132</v>
      </c>
      <c r="E154" s="6" t="s">
        <v>2133</v>
      </c>
      <c r="F154">
        <v>3204236265</v>
      </c>
      <c r="G154" s="6" t="s">
        <v>1146</v>
      </c>
      <c r="H154" s="6" t="s">
        <v>1638</v>
      </c>
      <c r="I154" s="6" t="s">
        <v>1638</v>
      </c>
      <c r="J154" s="6" t="s">
        <v>1638</v>
      </c>
      <c r="K154" s="7">
        <v>36732</v>
      </c>
      <c r="L154" s="6" t="s">
        <v>1638</v>
      </c>
      <c r="M154">
        <v>2</v>
      </c>
      <c r="N154">
        <v>10</v>
      </c>
      <c r="O154" s="6" t="s">
        <v>1638</v>
      </c>
      <c r="P154" s="6" t="s">
        <v>1638</v>
      </c>
      <c r="Q154" s="6" t="s">
        <v>1638</v>
      </c>
      <c r="R154" s="6" t="s">
        <v>1638</v>
      </c>
      <c r="S154" s="6" t="s">
        <v>1638</v>
      </c>
      <c r="T154" s="6" t="s">
        <v>1638</v>
      </c>
      <c r="U154" s="6" t="s">
        <v>1638</v>
      </c>
      <c r="V154" s="6" t="s">
        <v>1638</v>
      </c>
      <c r="W154" s="6" t="s">
        <v>35</v>
      </c>
      <c r="X154" s="7">
        <v>45933</v>
      </c>
      <c r="Y154">
        <v>0</v>
      </c>
      <c r="Z154" s="6" t="s">
        <v>1638</v>
      </c>
      <c r="AA154" s="6">
        <f>IFERROR(VLOOKUP(B154,BD_Clez_Premigracion!C:C,1,FALSE),"No encontrado")</f>
        <v>1007952487</v>
      </c>
    </row>
    <row r="155" spans="1:27" x14ac:dyDescent="0.25">
      <c r="A155">
        <v>2336</v>
      </c>
      <c r="B155">
        <v>1005257660</v>
      </c>
      <c r="C155">
        <v>1</v>
      </c>
      <c r="D155" s="6" t="s">
        <v>2134</v>
      </c>
      <c r="E155" s="6" t="s">
        <v>2135</v>
      </c>
      <c r="F155">
        <v>3168927430</v>
      </c>
      <c r="G155" s="6" t="s">
        <v>1162</v>
      </c>
      <c r="H155" s="6" t="s">
        <v>1638</v>
      </c>
      <c r="I155" s="6" t="s">
        <v>1638</v>
      </c>
      <c r="J155" s="6" t="s">
        <v>1638</v>
      </c>
      <c r="K155" s="7">
        <v>37537</v>
      </c>
      <c r="L155" s="6" t="s">
        <v>1638</v>
      </c>
      <c r="M155">
        <v>1</v>
      </c>
      <c r="N155">
        <v>9</v>
      </c>
      <c r="O155" s="6" t="s">
        <v>1638</v>
      </c>
      <c r="P155" s="6" t="s">
        <v>1638</v>
      </c>
      <c r="Q155" s="6" t="s">
        <v>1638</v>
      </c>
      <c r="R155" s="6" t="s">
        <v>1638</v>
      </c>
      <c r="S155" s="6" t="s">
        <v>1638</v>
      </c>
      <c r="T155" s="6" t="s">
        <v>1638</v>
      </c>
      <c r="U155" s="6" t="s">
        <v>1638</v>
      </c>
      <c r="V155" s="6" t="s">
        <v>1638</v>
      </c>
      <c r="W155" s="6" t="s">
        <v>35</v>
      </c>
      <c r="X155" s="7">
        <v>45937</v>
      </c>
      <c r="Y155">
        <v>0</v>
      </c>
      <c r="Z155" s="6" t="s">
        <v>1638</v>
      </c>
      <c r="AA155" s="6">
        <f>IFERROR(VLOOKUP(B155,BD_Clez_Premigracion!C:C,1,FALSE),"No encontrado")</f>
        <v>1005257660</v>
      </c>
    </row>
    <row r="156" spans="1:27" x14ac:dyDescent="0.25">
      <c r="A156">
        <v>2335</v>
      </c>
      <c r="B156">
        <v>7142068</v>
      </c>
      <c r="C156">
        <v>4</v>
      </c>
      <c r="D156" s="6" t="s">
        <v>2136</v>
      </c>
      <c r="E156" s="6" t="s">
        <v>2137</v>
      </c>
      <c r="F156">
        <v>8492817283</v>
      </c>
      <c r="G156" s="6" t="s">
        <v>2138</v>
      </c>
      <c r="H156" s="6" t="s">
        <v>1638</v>
      </c>
      <c r="I156" s="6" t="s">
        <v>2139</v>
      </c>
      <c r="J156" s="6" t="s">
        <v>1638</v>
      </c>
      <c r="K156" s="7">
        <v>28300</v>
      </c>
      <c r="L156" s="6" t="s">
        <v>1638</v>
      </c>
      <c r="M156">
        <v>1</v>
      </c>
      <c r="N156">
        <v>2</v>
      </c>
      <c r="O156" s="6" t="s">
        <v>1638</v>
      </c>
      <c r="P156" s="6" t="s">
        <v>1638</v>
      </c>
      <c r="Q156" s="6" t="s">
        <v>1638</v>
      </c>
      <c r="R156" s="6" t="s">
        <v>2140</v>
      </c>
      <c r="S156" s="6" t="s">
        <v>2141</v>
      </c>
      <c r="T156" s="6" t="s">
        <v>1721</v>
      </c>
      <c r="U156" s="6" t="s">
        <v>2142</v>
      </c>
      <c r="V156" s="6" t="s">
        <v>1638</v>
      </c>
      <c r="W156" s="6" t="s">
        <v>35</v>
      </c>
      <c r="X156" s="7">
        <v>45937</v>
      </c>
      <c r="Y156">
        <v>0</v>
      </c>
      <c r="Z156" s="6" t="s">
        <v>1709</v>
      </c>
      <c r="AA156" s="6" t="str">
        <f>IFERROR(VLOOKUP(B156,BD_Clez_Premigracion!C:C,1,FALSE),"No encontrado")</f>
        <v>No encontrado</v>
      </c>
    </row>
    <row r="157" spans="1:27" x14ac:dyDescent="0.25">
      <c r="A157">
        <v>2338</v>
      </c>
      <c r="B157">
        <v>1090507813</v>
      </c>
      <c r="C157">
        <v>1</v>
      </c>
      <c r="D157" s="6" t="s">
        <v>2143</v>
      </c>
      <c r="E157" s="6" t="s">
        <v>2144</v>
      </c>
      <c r="F157">
        <v>3105879493</v>
      </c>
      <c r="G157" s="6" t="s">
        <v>2145</v>
      </c>
      <c r="H157" s="6" t="s">
        <v>1638</v>
      </c>
      <c r="I157" s="6" t="s">
        <v>1638</v>
      </c>
      <c r="J157" s="6" t="s">
        <v>1638</v>
      </c>
      <c r="K157" s="7">
        <v>35601</v>
      </c>
      <c r="L157" s="6" t="s">
        <v>1638</v>
      </c>
      <c r="M157">
        <v>1</v>
      </c>
      <c r="N157">
        <v>8</v>
      </c>
      <c r="O157" s="6" t="s">
        <v>1638</v>
      </c>
      <c r="P157" s="6" t="s">
        <v>1638</v>
      </c>
      <c r="Q157" s="6" t="s">
        <v>1638</v>
      </c>
      <c r="R157" s="6" t="s">
        <v>1638</v>
      </c>
      <c r="S157" s="6" t="s">
        <v>1638</v>
      </c>
      <c r="T157" s="6" t="s">
        <v>1638</v>
      </c>
      <c r="U157" s="6" t="s">
        <v>1638</v>
      </c>
      <c r="V157" s="6" t="s">
        <v>1638</v>
      </c>
      <c r="W157" s="6" t="s">
        <v>1640</v>
      </c>
      <c r="X157" s="7">
        <v>45938</v>
      </c>
      <c r="Y157">
        <v>0</v>
      </c>
      <c r="Z157" s="6" t="s">
        <v>1638</v>
      </c>
      <c r="AA157" s="6" t="str">
        <f>IFERROR(VLOOKUP(B157,BD_Clez_Premigracion!C:C,1,FALSE),"No encontrado")</f>
        <v>No encontrado</v>
      </c>
    </row>
    <row r="158" spans="1:27" x14ac:dyDescent="0.25">
      <c r="A158">
        <v>2340</v>
      </c>
      <c r="B158">
        <v>1090372160</v>
      </c>
      <c r="C158">
        <v>1</v>
      </c>
      <c r="D158" s="6" t="s">
        <v>2146</v>
      </c>
      <c r="E158" s="6" t="s">
        <v>2147</v>
      </c>
      <c r="F158">
        <v>3044966329</v>
      </c>
      <c r="G158" s="6" t="s">
        <v>1364</v>
      </c>
      <c r="H158" s="6" t="s">
        <v>1638</v>
      </c>
      <c r="I158" s="6" t="s">
        <v>1638</v>
      </c>
      <c r="J158" s="6" t="s">
        <v>1638</v>
      </c>
      <c r="K158" s="7">
        <v>31647</v>
      </c>
      <c r="L158" s="6" t="s">
        <v>1638</v>
      </c>
      <c r="M158">
        <v>1</v>
      </c>
      <c r="N158">
        <v>6</v>
      </c>
      <c r="O158" s="6" t="s">
        <v>1638</v>
      </c>
      <c r="P158" s="6" t="s">
        <v>1638</v>
      </c>
      <c r="Q158" s="6" t="s">
        <v>1638</v>
      </c>
      <c r="R158" s="6" t="s">
        <v>1638</v>
      </c>
      <c r="S158" s="6" t="s">
        <v>1638</v>
      </c>
      <c r="T158" s="6" t="s">
        <v>1638</v>
      </c>
      <c r="U158" s="6" t="s">
        <v>1638</v>
      </c>
      <c r="V158" s="6" t="s">
        <v>1638</v>
      </c>
      <c r="W158" s="6" t="s">
        <v>35</v>
      </c>
      <c r="X158" s="7">
        <v>45938</v>
      </c>
      <c r="Y158">
        <v>0</v>
      </c>
      <c r="Z158" s="6" t="s">
        <v>1638</v>
      </c>
      <c r="AA158" s="6">
        <f>IFERROR(VLOOKUP(B158,BD_Clez_Premigracion!C:C,1,FALSE),"No encontrado")</f>
        <v>1090372160</v>
      </c>
    </row>
    <row r="159" spans="1:27" x14ac:dyDescent="0.25">
      <c r="A159">
        <v>2341</v>
      </c>
      <c r="B159">
        <v>1127045513</v>
      </c>
      <c r="C159">
        <v>1</v>
      </c>
      <c r="D159" s="6" t="s">
        <v>2148</v>
      </c>
      <c r="E159" s="6" t="s">
        <v>2149</v>
      </c>
      <c r="F159">
        <v>3138810660</v>
      </c>
      <c r="G159" s="6" t="s">
        <v>2150</v>
      </c>
      <c r="H159" s="6" t="s">
        <v>1638</v>
      </c>
      <c r="I159" s="6" t="s">
        <v>1638</v>
      </c>
      <c r="J159" s="6" t="s">
        <v>1638</v>
      </c>
      <c r="K159" s="7">
        <v>38428</v>
      </c>
      <c r="L159" s="6" t="s">
        <v>1638</v>
      </c>
      <c r="M159">
        <v>2</v>
      </c>
      <c r="N159">
        <v>4</v>
      </c>
      <c r="O159" s="6" t="s">
        <v>1638</v>
      </c>
      <c r="P159" s="6" t="s">
        <v>1638</v>
      </c>
      <c r="Q159" s="6" t="s">
        <v>1638</v>
      </c>
      <c r="R159" s="6" t="s">
        <v>1638</v>
      </c>
      <c r="S159" s="6" t="s">
        <v>1638</v>
      </c>
      <c r="T159" s="6" t="s">
        <v>1638</v>
      </c>
      <c r="U159" s="6" t="s">
        <v>1638</v>
      </c>
      <c r="V159" s="6" t="s">
        <v>1638</v>
      </c>
      <c r="W159" s="6" t="s">
        <v>35</v>
      </c>
      <c r="X159" s="7">
        <v>45938</v>
      </c>
      <c r="Y159">
        <v>0</v>
      </c>
      <c r="Z159" s="6" t="s">
        <v>1638</v>
      </c>
      <c r="AA159" s="6" t="str">
        <f>IFERROR(VLOOKUP(B159,BD_Clez_Premigracion!C:C,1,FALSE),"No encontrado")</f>
        <v>No encontrado</v>
      </c>
    </row>
    <row r="160" spans="1:27" x14ac:dyDescent="0.25">
      <c r="A160">
        <v>2343</v>
      </c>
      <c r="B160">
        <v>1004921263</v>
      </c>
      <c r="C160">
        <v>1</v>
      </c>
      <c r="D160" s="6" t="s">
        <v>2151</v>
      </c>
      <c r="E160" s="6" t="s">
        <v>2152</v>
      </c>
      <c r="F160">
        <v>3152145275</v>
      </c>
      <c r="G160" s="6" t="s">
        <v>2153</v>
      </c>
      <c r="H160" s="6" t="s">
        <v>1638</v>
      </c>
      <c r="I160" s="6" t="s">
        <v>1638</v>
      </c>
      <c r="J160" s="6" t="s">
        <v>1638</v>
      </c>
      <c r="K160" s="7">
        <v>32390</v>
      </c>
      <c r="L160" s="6" t="s">
        <v>1638</v>
      </c>
      <c r="M160">
        <v>1</v>
      </c>
      <c r="N160">
        <v>6</v>
      </c>
      <c r="O160" s="6" t="s">
        <v>1638</v>
      </c>
      <c r="P160" s="6" t="s">
        <v>1638</v>
      </c>
      <c r="Q160" s="6" t="s">
        <v>1638</v>
      </c>
      <c r="R160" s="6" t="s">
        <v>1638</v>
      </c>
      <c r="S160" s="6" t="s">
        <v>1638</v>
      </c>
      <c r="T160" s="6" t="s">
        <v>1638</v>
      </c>
      <c r="U160" s="6" t="s">
        <v>1638</v>
      </c>
      <c r="V160" s="6" t="s">
        <v>1638</v>
      </c>
      <c r="W160" s="6" t="s">
        <v>35</v>
      </c>
      <c r="X160" s="7">
        <v>45938</v>
      </c>
      <c r="Y160">
        <v>0</v>
      </c>
      <c r="Z160" s="6" t="s">
        <v>1638</v>
      </c>
      <c r="AA160" s="6" t="str">
        <f>IFERROR(VLOOKUP(B160,BD_Clez_Premigracion!C:C,1,FALSE),"No encontrado")</f>
        <v>No encontrado</v>
      </c>
    </row>
    <row r="161" spans="1:27" x14ac:dyDescent="0.25">
      <c r="A161">
        <v>2345</v>
      </c>
      <c r="B161">
        <v>1090506303</v>
      </c>
      <c r="C161">
        <v>1</v>
      </c>
      <c r="D161" s="6" t="s">
        <v>2154</v>
      </c>
      <c r="E161" s="6" t="s">
        <v>2155</v>
      </c>
      <c r="F161">
        <v>3151177779</v>
      </c>
      <c r="G161" s="6" t="s">
        <v>2156</v>
      </c>
      <c r="H161" s="6" t="s">
        <v>1638</v>
      </c>
      <c r="I161" s="6" t="s">
        <v>1638</v>
      </c>
      <c r="J161" s="6" t="s">
        <v>1638</v>
      </c>
      <c r="K161" s="7">
        <v>35588</v>
      </c>
      <c r="L161" s="6" t="s">
        <v>1638</v>
      </c>
      <c r="M161">
        <v>1</v>
      </c>
      <c r="N161">
        <v>4</v>
      </c>
      <c r="O161" s="6" t="s">
        <v>1638</v>
      </c>
      <c r="P161" s="6" t="s">
        <v>1638</v>
      </c>
      <c r="Q161" s="6" t="s">
        <v>1638</v>
      </c>
      <c r="R161" s="6" t="s">
        <v>1638</v>
      </c>
      <c r="S161" s="6" t="s">
        <v>1638</v>
      </c>
      <c r="T161" s="6" t="s">
        <v>1638</v>
      </c>
      <c r="U161" s="6" t="s">
        <v>1638</v>
      </c>
      <c r="V161" s="6" t="s">
        <v>1638</v>
      </c>
      <c r="W161" s="6" t="s">
        <v>1640</v>
      </c>
      <c r="X161" s="7">
        <v>45939</v>
      </c>
      <c r="Y161">
        <v>0</v>
      </c>
      <c r="Z161" s="6" t="s">
        <v>1638</v>
      </c>
      <c r="AA161" s="6" t="str">
        <f>IFERROR(VLOOKUP(B161,BD_Clez_Premigracion!C:C,1,FALSE),"No encontrado")</f>
        <v>No encontrado</v>
      </c>
    </row>
    <row r="162" spans="1:27" x14ac:dyDescent="0.25">
      <c r="A162">
        <v>2347</v>
      </c>
      <c r="B162">
        <v>1102356101</v>
      </c>
      <c r="C162">
        <v>1</v>
      </c>
      <c r="D162" s="6" t="s">
        <v>2157</v>
      </c>
      <c r="E162" s="6" t="s">
        <v>2158</v>
      </c>
      <c r="F162">
        <v>3017826679</v>
      </c>
      <c r="G162" s="6" t="s">
        <v>2159</v>
      </c>
      <c r="H162" s="6" t="s">
        <v>1638</v>
      </c>
      <c r="I162" s="6" t="s">
        <v>2160</v>
      </c>
      <c r="J162" s="6" t="s">
        <v>1638</v>
      </c>
      <c r="K162" s="7">
        <v>37731</v>
      </c>
      <c r="L162" s="6" t="s">
        <v>1638</v>
      </c>
      <c r="M162">
        <v>2</v>
      </c>
      <c r="N162">
        <v>5</v>
      </c>
      <c r="O162" s="6" t="s">
        <v>1638</v>
      </c>
      <c r="P162" s="6" t="s">
        <v>1638</v>
      </c>
      <c r="Q162" s="6" t="s">
        <v>1638</v>
      </c>
      <c r="R162" s="6" t="s">
        <v>1663</v>
      </c>
      <c r="S162" s="6" t="s">
        <v>2161</v>
      </c>
      <c r="T162" s="6" t="s">
        <v>1721</v>
      </c>
      <c r="U162" s="6" t="s">
        <v>2162</v>
      </c>
      <c r="V162" s="6" t="s">
        <v>1638</v>
      </c>
      <c r="W162" s="6" t="s">
        <v>35</v>
      </c>
      <c r="X162" s="7">
        <v>45939</v>
      </c>
      <c r="Y162">
        <v>0</v>
      </c>
      <c r="Z162" s="6" t="s">
        <v>1709</v>
      </c>
      <c r="AA162" s="6" t="str">
        <f>IFERROR(VLOOKUP(B162,BD_Clez_Premigracion!C:C,1,FALSE),"No encontrado")</f>
        <v>No encontrado</v>
      </c>
    </row>
    <row r="163" spans="1:27" x14ac:dyDescent="0.25">
      <c r="A163">
        <v>2348</v>
      </c>
      <c r="B163">
        <v>1005543183</v>
      </c>
      <c r="C163">
        <v>1</v>
      </c>
      <c r="D163" s="6" t="s">
        <v>2163</v>
      </c>
      <c r="E163" s="6" t="s">
        <v>2164</v>
      </c>
      <c r="F163">
        <v>3158712434</v>
      </c>
      <c r="G163" s="6" t="s">
        <v>2165</v>
      </c>
      <c r="H163" s="6" t="s">
        <v>1638</v>
      </c>
      <c r="I163" s="6" t="s">
        <v>2166</v>
      </c>
      <c r="J163" s="6" t="s">
        <v>1638</v>
      </c>
      <c r="K163" s="7">
        <v>36772</v>
      </c>
      <c r="L163" s="6" t="s">
        <v>1638</v>
      </c>
      <c r="M163">
        <v>2</v>
      </c>
      <c r="N163">
        <v>5</v>
      </c>
      <c r="O163" s="6" t="s">
        <v>1638</v>
      </c>
      <c r="P163" s="6" t="s">
        <v>1638</v>
      </c>
      <c r="Q163" s="6" t="s">
        <v>1638</v>
      </c>
      <c r="R163" s="6" t="s">
        <v>1663</v>
      </c>
      <c r="S163" s="6" t="s">
        <v>2167</v>
      </c>
      <c r="T163" s="6" t="s">
        <v>1842</v>
      </c>
      <c r="U163" s="6" t="s">
        <v>2168</v>
      </c>
      <c r="V163" s="6" t="s">
        <v>1638</v>
      </c>
      <c r="W163" s="6" t="s">
        <v>35</v>
      </c>
      <c r="X163" s="7">
        <v>45939</v>
      </c>
      <c r="Y163">
        <v>0</v>
      </c>
      <c r="Z163" s="6" t="s">
        <v>1709</v>
      </c>
      <c r="AA163" s="6" t="str">
        <f>IFERROR(VLOOKUP(B163,BD_Clez_Premigracion!C:C,1,FALSE),"No encontrado")</f>
        <v>No encontrado</v>
      </c>
    </row>
    <row r="164" spans="1:27" x14ac:dyDescent="0.25">
      <c r="A164">
        <v>2349</v>
      </c>
      <c r="B164">
        <v>1102374196</v>
      </c>
      <c r="C164">
        <v>1</v>
      </c>
      <c r="D164" s="6" t="s">
        <v>2169</v>
      </c>
      <c r="E164" s="6" t="s">
        <v>2170</v>
      </c>
      <c r="F164">
        <v>3178530929</v>
      </c>
      <c r="G164" s="6" t="s">
        <v>2171</v>
      </c>
      <c r="H164" s="6" t="s">
        <v>1638</v>
      </c>
      <c r="I164" s="6" t="s">
        <v>1638</v>
      </c>
      <c r="J164" s="6" t="s">
        <v>1638</v>
      </c>
      <c r="K164" s="7">
        <v>34509</v>
      </c>
      <c r="L164" s="6" t="s">
        <v>1638</v>
      </c>
      <c r="M164">
        <v>1</v>
      </c>
      <c r="N164">
        <v>5</v>
      </c>
      <c r="O164" s="6" t="s">
        <v>1638</v>
      </c>
      <c r="P164" s="6" t="s">
        <v>1638</v>
      </c>
      <c r="Q164" s="6" t="s">
        <v>1638</v>
      </c>
      <c r="R164" s="6" t="s">
        <v>1638</v>
      </c>
      <c r="S164" s="6" t="s">
        <v>1638</v>
      </c>
      <c r="T164" s="6" t="s">
        <v>1638</v>
      </c>
      <c r="U164" s="6" t="s">
        <v>1638</v>
      </c>
      <c r="V164" s="6" t="s">
        <v>1638</v>
      </c>
      <c r="W164" s="6" t="s">
        <v>35</v>
      </c>
      <c r="X164" s="7">
        <v>45939</v>
      </c>
      <c r="Y164">
        <v>0</v>
      </c>
      <c r="Z164" s="6" t="s">
        <v>1638</v>
      </c>
      <c r="AA164" s="6" t="str">
        <f>IFERROR(VLOOKUP(B164,BD_Clez_Premigracion!C:C,1,FALSE),"No encontrado")</f>
        <v>No encontrado</v>
      </c>
    </row>
    <row r="165" spans="1:27" x14ac:dyDescent="0.25">
      <c r="A165">
        <v>2139</v>
      </c>
      <c r="B165">
        <v>5081664</v>
      </c>
      <c r="C165">
        <v>6</v>
      </c>
      <c r="D165" s="6" t="s">
        <v>1658</v>
      </c>
      <c r="E165" s="6" t="s">
        <v>1659</v>
      </c>
      <c r="F165">
        <v>3505347893</v>
      </c>
      <c r="G165" s="6" t="s">
        <v>1660</v>
      </c>
      <c r="H165" s="6" t="s">
        <v>1638</v>
      </c>
      <c r="I165" s="6" t="s">
        <v>1638</v>
      </c>
      <c r="J165" s="6" t="s">
        <v>1639</v>
      </c>
      <c r="K165" s="7">
        <v>35466</v>
      </c>
      <c r="L165" s="6" t="s">
        <v>1638</v>
      </c>
      <c r="M165">
        <v>2</v>
      </c>
      <c r="N165">
        <v>10</v>
      </c>
      <c r="O165" s="6" t="s">
        <v>1638</v>
      </c>
      <c r="P165" s="6" t="s">
        <v>1638</v>
      </c>
      <c r="Q165" s="6" t="s">
        <v>1638</v>
      </c>
      <c r="R165" s="6" t="s">
        <v>1638</v>
      </c>
      <c r="S165" s="6" t="s">
        <v>1638</v>
      </c>
      <c r="T165" s="6" t="s">
        <v>1638</v>
      </c>
      <c r="U165" s="6" t="s">
        <v>1638</v>
      </c>
      <c r="V165" s="6" t="s">
        <v>1638</v>
      </c>
      <c r="W165" s="6" t="s">
        <v>35</v>
      </c>
      <c r="X165" s="7">
        <v>45916</v>
      </c>
      <c r="Y165">
        <v>0</v>
      </c>
      <c r="Z165" s="6" t="s">
        <v>1638</v>
      </c>
      <c r="AA165" s="6" t="str">
        <f>IFERROR(VLOOKUP(B165,BD_Clez_Premigracion!C:C,1,FALSE),"No encontrado")</f>
        <v>No encontrado</v>
      </c>
    </row>
    <row r="166" spans="1:27" x14ac:dyDescent="0.25">
      <c r="A166">
        <v>2333</v>
      </c>
      <c r="B166">
        <v>1098750282</v>
      </c>
      <c r="C166">
        <v>1</v>
      </c>
      <c r="D166" s="6" t="s">
        <v>2172</v>
      </c>
      <c r="E166" s="6" t="s">
        <v>2173</v>
      </c>
      <c r="F166">
        <v>3248033177</v>
      </c>
      <c r="G166" s="6" t="s">
        <v>2174</v>
      </c>
      <c r="H166" s="6" t="s">
        <v>1638</v>
      </c>
      <c r="I166" s="6" t="s">
        <v>1638</v>
      </c>
      <c r="J166" s="6" t="s">
        <v>1638</v>
      </c>
      <c r="K166" s="7">
        <v>34346</v>
      </c>
      <c r="L166" s="6" t="s">
        <v>1638</v>
      </c>
      <c r="M166">
        <v>1</v>
      </c>
      <c r="N166">
        <v>8</v>
      </c>
      <c r="O166" s="6" t="s">
        <v>1638</v>
      </c>
      <c r="P166" s="6" t="s">
        <v>1638</v>
      </c>
      <c r="Q166" s="6" t="s">
        <v>1638</v>
      </c>
      <c r="R166" s="6" t="s">
        <v>1638</v>
      </c>
      <c r="S166" s="6" t="s">
        <v>1638</v>
      </c>
      <c r="T166" s="6" t="s">
        <v>1638</v>
      </c>
      <c r="U166" s="6" t="s">
        <v>1638</v>
      </c>
      <c r="V166" s="6" t="s">
        <v>1638</v>
      </c>
      <c r="W166" s="6" t="s">
        <v>35</v>
      </c>
      <c r="X166" s="7">
        <v>45937</v>
      </c>
      <c r="Y166">
        <v>0</v>
      </c>
      <c r="Z166" s="6" t="s">
        <v>1638</v>
      </c>
      <c r="AA166" s="6">
        <f>IFERROR(VLOOKUP(B166,BD_Clez_Premigracion!C:C,1,FALSE),"No encontrado")</f>
        <v>1098750282</v>
      </c>
    </row>
    <row r="167" spans="1:27" x14ac:dyDescent="0.25">
      <c r="A167">
        <v>2350</v>
      </c>
      <c r="B167">
        <v>1097911290</v>
      </c>
      <c r="C167">
        <v>1</v>
      </c>
      <c r="D167" s="6" t="s">
        <v>2175</v>
      </c>
      <c r="E167" s="6" t="s">
        <v>2176</v>
      </c>
      <c r="F167">
        <v>3054765933</v>
      </c>
      <c r="G167" s="6" t="s">
        <v>2177</v>
      </c>
      <c r="H167" s="6" t="s">
        <v>1638</v>
      </c>
      <c r="I167" s="6" t="s">
        <v>1638</v>
      </c>
      <c r="J167" s="6" t="s">
        <v>1638</v>
      </c>
      <c r="K167" s="7">
        <v>38768</v>
      </c>
      <c r="L167" s="6" t="s">
        <v>1638</v>
      </c>
      <c r="M167">
        <v>2</v>
      </c>
      <c r="N167">
        <v>3</v>
      </c>
      <c r="O167" s="6" t="s">
        <v>1638</v>
      </c>
      <c r="P167" s="6" t="s">
        <v>1638</v>
      </c>
      <c r="Q167" s="6" t="s">
        <v>1638</v>
      </c>
      <c r="R167" s="6" t="s">
        <v>1638</v>
      </c>
      <c r="S167" s="6" t="s">
        <v>1638</v>
      </c>
      <c r="T167" s="6" t="s">
        <v>1638</v>
      </c>
      <c r="U167" s="6" t="s">
        <v>1638</v>
      </c>
      <c r="V167" s="6" t="s">
        <v>1638</v>
      </c>
      <c r="W167" s="6" t="s">
        <v>35</v>
      </c>
      <c r="X167" s="7">
        <v>45939</v>
      </c>
      <c r="Y167">
        <v>0</v>
      </c>
      <c r="Z167" s="6" t="s">
        <v>1638</v>
      </c>
      <c r="AA167" s="6" t="str">
        <f>IFERROR(VLOOKUP(B167,BD_Clez_Premigracion!C:C,1,FALSE),"No encontrado")</f>
        <v>No encontrado</v>
      </c>
    </row>
    <row r="168" spans="1:27" x14ac:dyDescent="0.25">
      <c r="A168">
        <v>2351</v>
      </c>
      <c r="B168">
        <v>1098647147</v>
      </c>
      <c r="C168">
        <v>1</v>
      </c>
      <c r="D168" s="6" t="s">
        <v>2178</v>
      </c>
      <c r="E168" s="6" t="s">
        <v>2179</v>
      </c>
      <c r="F168">
        <v>3217796783</v>
      </c>
      <c r="G168" s="6" t="s">
        <v>887</v>
      </c>
      <c r="H168" s="6" t="s">
        <v>1638</v>
      </c>
      <c r="I168" s="6" t="s">
        <v>1638</v>
      </c>
      <c r="J168" s="6" t="s">
        <v>1638</v>
      </c>
      <c r="K168" s="7">
        <v>38701</v>
      </c>
      <c r="L168" s="6" t="s">
        <v>1638</v>
      </c>
      <c r="M168">
        <v>2</v>
      </c>
      <c r="N168">
        <v>5</v>
      </c>
      <c r="O168" s="6" t="s">
        <v>1638</v>
      </c>
      <c r="P168" s="6" t="s">
        <v>1638</v>
      </c>
      <c r="Q168" s="6" t="s">
        <v>1638</v>
      </c>
      <c r="R168" s="6" t="s">
        <v>1638</v>
      </c>
      <c r="S168" s="6" t="s">
        <v>1638</v>
      </c>
      <c r="T168" s="6" t="s">
        <v>1638</v>
      </c>
      <c r="U168" s="6" t="s">
        <v>1638</v>
      </c>
      <c r="V168" s="6" t="s">
        <v>1638</v>
      </c>
      <c r="W168" s="6" t="s">
        <v>35</v>
      </c>
      <c r="X168" s="7">
        <v>45939</v>
      </c>
      <c r="Y168">
        <v>0</v>
      </c>
      <c r="Z168" s="6" t="s">
        <v>1638</v>
      </c>
      <c r="AA168" s="6">
        <f>IFERROR(VLOOKUP(B168,BD_Clez_Premigracion!C:C,1,FALSE),"No encontrado")</f>
        <v>1098647147</v>
      </c>
    </row>
    <row r="169" spans="1:27" x14ac:dyDescent="0.25">
      <c r="A169">
        <v>2357</v>
      </c>
      <c r="B169">
        <v>1093598744</v>
      </c>
      <c r="C169">
        <v>3</v>
      </c>
      <c r="D169" s="6" t="s">
        <v>2180</v>
      </c>
      <c r="E169" s="6" t="s">
        <v>2181</v>
      </c>
      <c r="F169">
        <v>3024278108</v>
      </c>
      <c r="G169" s="6" t="s">
        <v>2182</v>
      </c>
      <c r="H169" s="6" t="s">
        <v>1638</v>
      </c>
      <c r="I169" s="6" t="s">
        <v>2183</v>
      </c>
      <c r="J169" s="6" t="s">
        <v>1638</v>
      </c>
      <c r="K169" s="7">
        <v>40049</v>
      </c>
      <c r="L169" s="6" t="s">
        <v>1638</v>
      </c>
      <c r="M169">
        <v>2</v>
      </c>
      <c r="N169">
        <v>4</v>
      </c>
      <c r="O169" s="6" t="s">
        <v>1638</v>
      </c>
      <c r="P169" s="6" t="s">
        <v>1638</v>
      </c>
      <c r="Q169" s="6" t="s">
        <v>1638</v>
      </c>
      <c r="R169" s="6" t="s">
        <v>1639</v>
      </c>
      <c r="S169" s="6" t="s">
        <v>2184</v>
      </c>
      <c r="T169" s="6" t="s">
        <v>2185</v>
      </c>
      <c r="U169" s="6" t="s">
        <v>2186</v>
      </c>
      <c r="V169" s="6" t="s">
        <v>1638</v>
      </c>
      <c r="W169" s="6" t="s">
        <v>35</v>
      </c>
      <c r="X169" s="7">
        <v>45940</v>
      </c>
      <c r="Y169">
        <v>0</v>
      </c>
      <c r="Z169" s="6" t="s">
        <v>1709</v>
      </c>
      <c r="AA169" s="6" t="str">
        <f>IFERROR(VLOOKUP(B169,BD_Clez_Premigracion!C:C,1,FALSE),"No encontrado")</f>
        <v>No encontrado</v>
      </c>
    </row>
    <row r="170" spans="1:27" x14ac:dyDescent="0.25">
      <c r="A170">
        <v>2358</v>
      </c>
      <c r="B170">
        <v>1092531661</v>
      </c>
      <c r="C170">
        <v>1</v>
      </c>
      <c r="D170" s="6" t="s">
        <v>2187</v>
      </c>
      <c r="E170" s="6" t="s">
        <v>2188</v>
      </c>
      <c r="F170">
        <v>3162964422</v>
      </c>
      <c r="G170" s="6" t="s">
        <v>1239</v>
      </c>
      <c r="H170" s="6" t="s">
        <v>1638</v>
      </c>
      <c r="I170" s="6" t="s">
        <v>1638</v>
      </c>
      <c r="J170" s="6" t="s">
        <v>1638</v>
      </c>
      <c r="K170" s="7">
        <v>39104</v>
      </c>
      <c r="L170" s="6" t="s">
        <v>1638</v>
      </c>
      <c r="M170">
        <v>2</v>
      </c>
      <c r="N170">
        <v>4</v>
      </c>
      <c r="O170" s="6" t="s">
        <v>1638</v>
      </c>
      <c r="P170" s="6" t="s">
        <v>1638</v>
      </c>
      <c r="Q170" s="6" t="s">
        <v>1638</v>
      </c>
      <c r="R170" s="6" t="s">
        <v>1638</v>
      </c>
      <c r="S170" s="6" t="s">
        <v>1638</v>
      </c>
      <c r="T170" s="6" t="s">
        <v>1638</v>
      </c>
      <c r="U170" s="6" t="s">
        <v>1638</v>
      </c>
      <c r="V170" s="6" t="s">
        <v>1638</v>
      </c>
      <c r="W170" s="6" t="s">
        <v>35</v>
      </c>
      <c r="X170" s="7">
        <v>45940</v>
      </c>
      <c r="Y170">
        <v>0</v>
      </c>
      <c r="Z170" s="6" t="s">
        <v>1638</v>
      </c>
      <c r="AA170" s="6">
        <f>IFERROR(VLOOKUP(B170,BD_Clez_Premigracion!C:C,1,FALSE),"No encontrado")</f>
        <v>1092531661</v>
      </c>
    </row>
    <row r="171" spans="1:27" x14ac:dyDescent="0.25">
      <c r="A171">
        <v>2360</v>
      </c>
      <c r="B171">
        <v>1005058917</v>
      </c>
      <c r="C171">
        <v>1</v>
      </c>
      <c r="D171" s="6" t="s">
        <v>2189</v>
      </c>
      <c r="E171" s="6" t="s">
        <v>2190</v>
      </c>
      <c r="F171">
        <v>3232256477</v>
      </c>
      <c r="G171" s="6" t="s">
        <v>2191</v>
      </c>
      <c r="H171" s="6" t="s">
        <v>1638</v>
      </c>
      <c r="I171" s="6" t="s">
        <v>2192</v>
      </c>
      <c r="J171" s="6" t="s">
        <v>1638</v>
      </c>
      <c r="K171" s="7">
        <v>37212</v>
      </c>
      <c r="L171" s="6" t="s">
        <v>1638</v>
      </c>
      <c r="M171">
        <v>2</v>
      </c>
      <c r="N171">
        <v>6</v>
      </c>
      <c r="O171" s="6" t="s">
        <v>1638</v>
      </c>
      <c r="P171" s="6" t="s">
        <v>1638</v>
      </c>
      <c r="Q171" s="6" t="s">
        <v>1638</v>
      </c>
      <c r="R171" s="6" t="s">
        <v>1639</v>
      </c>
      <c r="S171" s="6" t="s">
        <v>2193</v>
      </c>
      <c r="T171" s="6" t="s">
        <v>1721</v>
      </c>
      <c r="U171" s="6" t="s">
        <v>2194</v>
      </c>
      <c r="V171" s="6" t="s">
        <v>1638</v>
      </c>
      <c r="W171" s="6" t="s">
        <v>35</v>
      </c>
      <c r="X171" s="7">
        <v>45940</v>
      </c>
      <c r="Y171">
        <v>0</v>
      </c>
      <c r="Z171" s="6" t="s">
        <v>1709</v>
      </c>
      <c r="AA171" s="6" t="str">
        <f>IFERROR(VLOOKUP(B171,BD_Clez_Premigracion!C:C,1,FALSE),"No encontrado")</f>
        <v>No encontrado</v>
      </c>
    </row>
    <row r="172" spans="1:27" x14ac:dyDescent="0.25">
      <c r="A172">
        <v>2301</v>
      </c>
      <c r="B172">
        <v>1102361869</v>
      </c>
      <c r="C172">
        <v>1</v>
      </c>
      <c r="D172" s="6" t="s">
        <v>2195</v>
      </c>
      <c r="E172" s="6" t="s">
        <v>2196</v>
      </c>
      <c r="F172">
        <v>3247545304</v>
      </c>
      <c r="G172" s="6" t="s">
        <v>1205</v>
      </c>
      <c r="H172" s="6" t="s">
        <v>1638</v>
      </c>
      <c r="I172" s="6" t="s">
        <v>1638</v>
      </c>
      <c r="J172" s="6" t="s">
        <v>1638</v>
      </c>
      <c r="K172" s="7">
        <v>32839</v>
      </c>
      <c r="L172" s="6" t="s">
        <v>1638</v>
      </c>
      <c r="M172">
        <v>2</v>
      </c>
      <c r="N172">
        <v>5</v>
      </c>
      <c r="O172" s="6" t="s">
        <v>1638</v>
      </c>
      <c r="P172" s="6" t="s">
        <v>1638</v>
      </c>
      <c r="Q172" s="6" t="s">
        <v>1638</v>
      </c>
      <c r="R172" s="6" t="s">
        <v>1638</v>
      </c>
      <c r="S172" s="6" t="s">
        <v>1638</v>
      </c>
      <c r="T172" s="6" t="s">
        <v>1638</v>
      </c>
      <c r="U172" s="6" t="s">
        <v>1638</v>
      </c>
      <c r="V172" s="6" t="s">
        <v>1638</v>
      </c>
      <c r="W172" s="6" t="s">
        <v>35</v>
      </c>
      <c r="X172" s="7">
        <v>45936</v>
      </c>
      <c r="Y172">
        <v>0</v>
      </c>
      <c r="Z172" s="6" t="s">
        <v>1638</v>
      </c>
      <c r="AA172" s="6">
        <f>IFERROR(VLOOKUP(B172,BD_Clez_Premigracion!C:C,1,FALSE),"No encontrado")</f>
        <v>1102361869</v>
      </c>
    </row>
    <row r="173" spans="1:27" x14ac:dyDescent="0.25">
      <c r="A173">
        <v>2361</v>
      </c>
      <c r="B173">
        <v>1095965745</v>
      </c>
      <c r="C173">
        <v>1</v>
      </c>
      <c r="D173" s="6" t="s">
        <v>2197</v>
      </c>
      <c r="E173" s="6" t="s">
        <v>2198</v>
      </c>
      <c r="F173">
        <v>3228205653</v>
      </c>
      <c r="G173" s="6" t="s">
        <v>2199</v>
      </c>
      <c r="H173" s="6" t="s">
        <v>1638</v>
      </c>
      <c r="I173" s="6" t="s">
        <v>1638</v>
      </c>
      <c r="J173" s="6" t="s">
        <v>1638</v>
      </c>
      <c r="K173" s="7">
        <v>37687</v>
      </c>
      <c r="L173" s="6" t="s">
        <v>1638</v>
      </c>
      <c r="M173">
        <v>1</v>
      </c>
      <c r="N173">
        <v>2</v>
      </c>
      <c r="O173" s="6" t="s">
        <v>1638</v>
      </c>
      <c r="P173" s="6" t="s">
        <v>1638</v>
      </c>
      <c r="Q173" s="6" t="s">
        <v>1638</v>
      </c>
      <c r="R173" s="6" t="s">
        <v>1638</v>
      </c>
      <c r="S173" s="6" t="s">
        <v>1638</v>
      </c>
      <c r="T173" s="6" t="s">
        <v>1638</v>
      </c>
      <c r="U173" s="6" t="s">
        <v>1638</v>
      </c>
      <c r="V173" s="6" t="s">
        <v>1638</v>
      </c>
      <c r="W173" s="6" t="s">
        <v>1640</v>
      </c>
      <c r="X173" s="7">
        <v>45940</v>
      </c>
      <c r="Y173">
        <v>0</v>
      </c>
      <c r="Z173" s="6" t="s">
        <v>1638</v>
      </c>
      <c r="AA173" s="6" t="str">
        <f>IFERROR(VLOOKUP(B173,BD_Clez_Premigracion!C:C,1,FALSE),"No encontrado")</f>
        <v>No encontrado</v>
      </c>
    </row>
    <row r="174" spans="1:27" x14ac:dyDescent="0.25">
      <c r="A174">
        <v>2363</v>
      </c>
      <c r="B174">
        <v>1098614692</v>
      </c>
      <c r="C174">
        <v>1</v>
      </c>
      <c r="D174" s="6" t="s">
        <v>2200</v>
      </c>
      <c r="E174" s="6" t="s">
        <v>2201</v>
      </c>
      <c r="F174">
        <v>3143210312</v>
      </c>
      <c r="G174" s="6" t="s">
        <v>1099</v>
      </c>
      <c r="H174" s="6" t="s">
        <v>1638</v>
      </c>
      <c r="I174" s="6" t="s">
        <v>1638</v>
      </c>
      <c r="J174" s="6" t="s">
        <v>1638</v>
      </c>
      <c r="K174" s="7">
        <v>31268</v>
      </c>
      <c r="L174" s="6" t="s">
        <v>1638</v>
      </c>
      <c r="M174">
        <v>2</v>
      </c>
      <c r="N174">
        <v>2</v>
      </c>
      <c r="O174" s="6" t="s">
        <v>1638</v>
      </c>
      <c r="P174" s="6" t="s">
        <v>1638</v>
      </c>
      <c r="Q174" s="6" t="s">
        <v>1638</v>
      </c>
      <c r="R174" s="6" t="s">
        <v>1638</v>
      </c>
      <c r="S174" s="6" t="s">
        <v>1638</v>
      </c>
      <c r="T174" s="6" t="s">
        <v>1638</v>
      </c>
      <c r="U174" s="6" t="s">
        <v>1638</v>
      </c>
      <c r="V174" s="6" t="s">
        <v>1638</v>
      </c>
      <c r="W174" s="6" t="s">
        <v>35</v>
      </c>
      <c r="X174" s="7">
        <v>45940</v>
      </c>
      <c r="Y174">
        <v>0</v>
      </c>
      <c r="Z174" s="6" t="s">
        <v>1638</v>
      </c>
      <c r="AA174" s="6">
        <f>IFERROR(VLOOKUP(B174,BD_Clez_Premigracion!C:C,1,FALSE),"No encontrado")</f>
        <v>1098614692</v>
      </c>
    </row>
    <row r="175" spans="1:27" x14ac:dyDescent="0.25">
      <c r="A175">
        <v>2369</v>
      </c>
      <c r="B175">
        <v>1099735873</v>
      </c>
      <c r="C175">
        <v>1</v>
      </c>
      <c r="D175" s="6" t="s">
        <v>1641</v>
      </c>
      <c r="E175" s="6" t="s">
        <v>2202</v>
      </c>
      <c r="F175">
        <v>3237972096</v>
      </c>
      <c r="G175" s="6" t="s">
        <v>2203</v>
      </c>
      <c r="H175" s="6" t="s">
        <v>1638</v>
      </c>
      <c r="I175" s="6" t="s">
        <v>2204</v>
      </c>
      <c r="J175" s="6" t="s">
        <v>1638</v>
      </c>
      <c r="K175" s="7">
        <v>38334</v>
      </c>
      <c r="L175" s="6" t="s">
        <v>1638</v>
      </c>
      <c r="M175">
        <v>2</v>
      </c>
      <c r="N175">
        <v>5</v>
      </c>
      <c r="O175" s="6" t="s">
        <v>1638</v>
      </c>
      <c r="P175" s="6" t="s">
        <v>1638</v>
      </c>
      <c r="Q175" s="6" t="s">
        <v>1638</v>
      </c>
      <c r="R175" s="6" t="s">
        <v>1663</v>
      </c>
      <c r="S175" s="6" t="s">
        <v>2205</v>
      </c>
      <c r="T175" s="6" t="s">
        <v>1707</v>
      </c>
      <c r="U175" s="6" t="s">
        <v>2206</v>
      </c>
      <c r="V175" s="6" t="s">
        <v>1638</v>
      </c>
      <c r="W175" s="6" t="s">
        <v>35</v>
      </c>
      <c r="X175" s="7">
        <v>45942</v>
      </c>
      <c r="Y175">
        <v>0</v>
      </c>
      <c r="Z175" s="6" t="s">
        <v>1709</v>
      </c>
      <c r="AA175" s="6" t="str">
        <f>IFERROR(VLOOKUP(B175,BD_Clez_Premigracion!C:C,1,FALSE),"No encontrado")</f>
        <v>No encontrado</v>
      </c>
    </row>
    <row r="176" spans="1:27" x14ac:dyDescent="0.25">
      <c r="A176">
        <v>2374</v>
      </c>
      <c r="B176">
        <v>1000852100</v>
      </c>
      <c r="C176">
        <v>1</v>
      </c>
      <c r="D176" s="6" t="s">
        <v>1669</v>
      </c>
      <c r="E176" s="6" t="s">
        <v>2207</v>
      </c>
      <c r="F176">
        <v>3053933966</v>
      </c>
      <c r="G176" s="6" t="s">
        <v>997</v>
      </c>
      <c r="H176" s="6" t="s">
        <v>1638</v>
      </c>
      <c r="I176" s="6" t="s">
        <v>1638</v>
      </c>
      <c r="J176" s="6" t="s">
        <v>1638</v>
      </c>
      <c r="K176" s="7">
        <v>37082</v>
      </c>
      <c r="L176" s="6" t="s">
        <v>1638</v>
      </c>
      <c r="M176">
        <v>1</v>
      </c>
      <c r="N176">
        <v>8</v>
      </c>
      <c r="O176" s="6" t="s">
        <v>1638</v>
      </c>
      <c r="P176" s="6" t="s">
        <v>1638</v>
      </c>
      <c r="Q176" s="6" t="s">
        <v>1638</v>
      </c>
      <c r="R176" s="6" t="s">
        <v>1638</v>
      </c>
      <c r="S176" s="6" t="s">
        <v>1638</v>
      </c>
      <c r="T176" s="6" t="s">
        <v>1638</v>
      </c>
      <c r="U176" s="6" t="s">
        <v>1638</v>
      </c>
      <c r="V176" s="6" t="s">
        <v>1638</v>
      </c>
      <c r="W176" s="6" t="s">
        <v>35</v>
      </c>
      <c r="X176" s="7">
        <v>45943</v>
      </c>
      <c r="Y176">
        <v>0</v>
      </c>
      <c r="Z176" s="6" t="s">
        <v>1638</v>
      </c>
      <c r="AA176" s="6">
        <f>IFERROR(VLOOKUP(B176,BD_Clez_Premigracion!C:C,1,FALSE),"No encontrado")</f>
        <v>1000852100</v>
      </c>
    </row>
    <row r="177" spans="1:27" x14ac:dyDescent="0.25">
      <c r="A177">
        <v>2377</v>
      </c>
      <c r="B177">
        <v>1090528973</v>
      </c>
      <c r="C177">
        <v>1</v>
      </c>
      <c r="D177" s="6" t="s">
        <v>2208</v>
      </c>
      <c r="E177" s="6" t="s">
        <v>2209</v>
      </c>
      <c r="F177">
        <v>3213573438</v>
      </c>
      <c r="G177" s="6" t="s">
        <v>2210</v>
      </c>
      <c r="H177" s="6" t="s">
        <v>1638</v>
      </c>
      <c r="I177" s="6" t="s">
        <v>2211</v>
      </c>
      <c r="J177" s="6" t="s">
        <v>1638</v>
      </c>
      <c r="K177" s="7">
        <v>36321</v>
      </c>
      <c r="L177" s="6" t="s">
        <v>1638</v>
      </c>
      <c r="M177">
        <v>1</v>
      </c>
      <c r="N177">
        <v>3</v>
      </c>
      <c r="O177" s="6" t="s">
        <v>1638</v>
      </c>
      <c r="P177" s="6" t="s">
        <v>1638</v>
      </c>
      <c r="Q177" s="6" t="s">
        <v>1638</v>
      </c>
      <c r="R177" s="6" t="s">
        <v>1639</v>
      </c>
      <c r="S177" s="6" t="s">
        <v>2212</v>
      </c>
      <c r="T177" s="6" t="s">
        <v>2185</v>
      </c>
      <c r="U177" s="6" t="s">
        <v>2213</v>
      </c>
      <c r="V177" s="6" t="s">
        <v>1638</v>
      </c>
      <c r="W177" s="6" t="s">
        <v>35</v>
      </c>
      <c r="X177" s="7">
        <v>45943</v>
      </c>
      <c r="Y177">
        <v>0</v>
      </c>
      <c r="Z177" s="6" t="s">
        <v>1709</v>
      </c>
      <c r="AA177" s="6" t="str">
        <f>IFERROR(VLOOKUP(B177,BD_Clez_Premigracion!C:C,1,FALSE),"No encontrado")</f>
        <v>No encontrado</v>
      </c>
    </row>
    <row r="178" spans="1:27" x14ac:dyDescent="0.25">
      <c r="A178">
        <v>2378</v>
      </c>
      <c r="B178">
        <v>1098819121</v>
      </c>
      <c r="C178">
        <v>1</v>
      </c>
      <c r="D178" s="6" t="s">
        <v>2214</v>
      </c>
      <c r="E178" s="6" t="s">
        <v>2215</v>
      </c>
      <c r="F178">
        <v>3219111149</v>
      </c>
      <c r="G178" s="6" t="s">
        <v>2216</v>
      </c>
      <c r="H178" s="6" t="s">
        <v>1638</v>
      </c>
      <c r="I178" s="6" t="s">
        <v>2217</v>
      </c>
      <c r="J178" s="6" t="s">
        <v>1638</v>
      </c>
      <c r="K178" s="7">
        <v>36274</v>
      </c>
      <c r="L178" s="6" t="s">
        <v>1638</v>
      </c>
      <c r="M178">
        <v>1</v>
      </c>
      <c r="N178">
        <v>2</v>
      </c>
      <c r="O178" s="6" t="s">
        <v>1638</v>
      </c>
      <c r="P178" s="6" t="s">
        <v>1638</v>
      </c>
      <c r="Q178" s="6" t="s">
        <v>1638</v>
      </c>
      <c r="R178" s="6" t="s">
        <v>1639</v>
      </c>
      <c r="S178" s="6" t="s">
        <v>2218</v>
      </c>
      <c r="T178" s="6" t="s">
        <v>1721</v>
      </c>
      <c r="U178" s="6" t="s">
        <v>2219</v>
      </c>
      <c r="V178" s="6" t="s">
        <v>1638</v>
      </c>
      <c r="W178" s="6" t="s">
        <v>35</v>
      </c>
      <c r="X178" s="7">
        <v>45943</v>
      </c>
      <c r="Y178">
        <v>0</v>
      </c>
      <c r="Z178" s="6" t="s">
        <v>1709</v>
      </c>
      <c r="AA178" s="6" t="str">
        <f>IFERROR(VLOOKUP(B178,BD_Clez_Premigracion!C:C,1,FALSE),"No encontrado")</f>
        <v>No encontrado</v>
      </c>
    </row>
    <row r="179" spans="1:27" x14ac:dyDescent="0.25">
      <c r="A179">
        <v>2375</v>
      </c>
      <c r="B179">
        <v>1098631699</v>
      </c>
      <c r="C179">
        <v>1</v>
      </c>
      <c r="D179" s="6" t="s">
        <v>2220</v>
      </c>
      <c r="E179" s="6" t="s">
        <v>2221</v>
      </c>
      <c r="F179">
        <v>3155525970</v>
      </c>
      <c r="G179" s="6" t="s">
        <v>2222</v>
      </c>
      <c r="H179" s="6" t="s">
        <v>1638</v>
      </c>
      <c r="I179" s="6" t="s">
        <v>2223</v>
      </c>
      <c r="J179" s="6" t="s">
        <v>1638</v>
      </c>
      <c r="K179" s="7">
        <v>31798</v>
      </c>
      <c r="L179" s="6" t="s">
        <v>1638</v>
      </c>
      <c r="M179">
        <v>1</v>
      </c>
      <c r="N179">
        <v>1</v>
      </c>
      <c r="O179" s="6" t="s">
        <v>1638</v>
      </c>
      <c r="P179" s="6" t="s">
        <v>1638</v>
      </c>
      <c r="Q179" s="6" t="s">
        <v>1638</v>
      </c>
      <c r="R179" s="6" t="s">
        <v>1639</v>
      </c>
      <c r="S179" s="6" t="s">
        <v>2224</v>
      </c>
      <c r="T179" s="6" t="s">
        <v>1721</v>
      </c>
      <c r="U179" s="6" t="s">
        <v>2225</v>
      </c>
      <c r="V179" s="6" t="s">
        <v>1638</v>
      </c>
      <c r="W179" s="6" t="s">
        <v>35</v>
      </c>
      <c r="X179" s="7">
        <v>45943</v>
      </c>
      <c r="Y179">
        <v>0</v>
      </c>
      <c r="Z179" s="6" t="s">
        <v>1709</v>
      </c>
      <c r="AA179" s="6" t="str">
        <f>IFERROR(VLOOKUP(B179,BD_Clez_Premigracion!C:C,1,FALSE),"No encontrado")</f>
        <v>No encontrado</v>
      </c>
    </row>
    <row r="180" spans="1:27" x14ac:dyDescent="0.25">
      <c r="A180">
        <v>2376</v>
      </c>
      <c r="B180">
        <v>1098765354</v>
      </c>
      <c r="C180">
        <v>1</v>
      </c>
      <c r="D180" s="6" t="s">
        <v>2226</v>
      </c>
      <c r="E180" s="6" t="s">
        <v>2227</v>
      </c>
      <c r="F180">
        <v>3235339663</v>
      </c>
      <c r="G180" s="6" t="s">
        <v>2228</v>
      </c>
      <c r="H180" s="6" t="s">
        <v>1638</v>
      </c>
      <c r="I180" s="6" t="s">
        <v>1638</v>
      </c>
      <c r="J180" s="6" t="s">
        <v>1638</v>
      </c>
      <c r="K180" s="7">
        <v>34738</v>
      </c>
      <c r="L180" s="6" t="s">
        <v>1638</v>
      </c>
      <c r="M180">
        <v>2</v>
      </c>
      <c r="N180">
        <v>1</v>
      </c>
      <c r="O180" s="6" t="s">
        <v>1638</v>
      </c>
      <c r="P180" s="6" t="s">
        <v>1638</v>
      </c>
      <c r="Q180" s="6" t="s">
        <v>1638</v>
      </c>
      <c r="R180" s="6" t="s">
        <v>1638</v>
      </c>
      <c r="S180" s="6" t="s">
        <v>1638</v>
      </c>
      <c r="T180" s="6" t="s">
        <v>1638</v>
      </c>
      <c r="U180" s="6" t="s">
        <v>1638</v>
      </c>
      <c r="V180" s="6" t="s">
        <v>1638</v>
      </c>
      <c r="W180" s="6" t="s">
        <v>1640</v>
      </c>
      <c r="X180" s="7">
        <v>45943</v>
      </c>
      <c r="Y180">
        <v>0</v>
      </c>
      <c r="Z180" s="6" t="s">
        <v>1638</v>
      </c>
      <c r="AA180" s="6" t="str">
        <f>IFERROR(VLOOKUP(B180,BD_Clez_Premigracion!C:C,1,FALSE),"No encontrado")</f>
        <v>No encontrado</v>
      </c>
    </row>
    <row r="181" spans="1:27" x14ac:dyDescent="0.25">
      <c r="A181">
        <v>2382</v>
      </c>
      <c r="B181">
        <v>1007358928</v>
      </c>
      <c r="C181">
        <v>1</v>
      </c>
      <c r="D181" s="6" t="s">
        <v>2229</v>
      </c>
      <c r="E181" s="6" t="s">
        <v>2230</v>
      </c>
      <c r="F181">
        <v>3107276598</v>
      </c>
      <c r="G181" s="6" t="s">
        <v>2231</v>
      </c>
      <c r="H181" s="6" t="s">
        <v>1638</v>
      </c>
      <c r="I181" s="6" t="s">
        <v>2232</v>
      </c>
      <c r="J181" s="6" t="s">
        <v>1638</v>
      </c>
      <c r="K181" s="7">
        <v>36651</v>
      </c>
      <c r="L181" s="6" t="s">
        <v>1638</v>
      </c>
      <c r="M181">
        <v>1</v>
      </c>
      <c r="N181">
        <v>10</v>
      </c>
      <c r="O181" s="6" t="s">
        <v>1638</v>
      </c>
      <c r="P181" s="6" t="s">
        <v>1638</v>
      </c>
      <c r="Q181" s="6" t="s">
        <v>1638</v>
      </c>
      <c r="R181" s="6" t="s">
        <v>1848</v>
      </c>
      <c r="S181" s="6" t="s">
        <v>2233</v>
      </c>
      <c r="T181" s="6" t="s">
        <v>1721</v>
      </c>
      <c r="U181" s="6" t="s">
        <v>2234</v>
      </c>
      <c r="V181" s="6" t="s">
        <v>1638</v>
      </c>
      <c r="W181" s="6" t="s">
        <v>35</v>
      </c>
      <c r="X181" s="7">
        <v>45943</v>
      </c>
      <c r="Y181">
        <v>0</v>
      </c>
      <c r="Z181" s="6" t="s">
        <v>1709</v>
      </c>
      <c r="AA181" s="6" t="str">
        <f>IFERROR(VLOOKUP(B181,BD_Clez_Premigracion!C:C,1,FALSE),"No encontrado")</f>
        <v>No encontrado</v>
      </c>
    </row>
    <row r="182" spans="1:27" x14ac:dyDescent="0.25">
      <c r="A182">
        <v>2364</v>
      </c>
      <c r="B182">
        <v>1065138955</v>
      </c>
      <c r="C182">
        <v>1</v>
      </c>
      <c r="D182" s="6" t="s">
        <v>2235</v>
      </c>
      <c r="E182" s="6" t="s">
        <v>2236</v>
      </c>
      <c r="F182">
        <v>3022929761</v>
      </c>
      <c r="G182" s="6" t="s">
        <v>1037</v>
      </c>
      <c r="H182" s="6" t="s">
        <v>1638</v>
      </c>
      <c r="I182" s="6" t="s">
        <v>1638</v>
      </c>
      <c r="J182" s="6" t="s">
        <v>1638</v>
      </c>
      <c r="K182" s="7">
        <v>35952</v>
      </c>
      <c r="L182" s="6" t="s">
        <v>1638</v>
      </c>
      <c r="M182">
        <v>2</v>
      </c>
      <c r="N182">
        <v>3</v>
      </c>
      <c r="O182" s="6" t="s">
        <v>1638</v>
      </c>
      <c r="P182" s="6" t="s">
        <v>1638</v>
      </c>
      <c r="Q182" s="6" t="s">
        <v>1638</v>
      </c>
      <c r="R182" s="6" t="s">
        <v>1638</v>
      </c>
      <c r="S182" s="6" t="s">
        <v>1638</v>
      </c>
      <c r="T182" s="6" t="s">
        <v>1638</v>
      </c>
      <c r="U182" s="6" t="s">
        <v>1638</v>
      </c>
      <c r="V182" s="6" t="s">
        <v>1638</v>
      </c>
      <c r="W182" s="6" t="s">
        <v>35</v>
      </c>
      <c r="X182" s="7">
        <v>45940</v>
      </c>
      <c r="Y182">
        <v>0</v>
      </c>
      <c r="Z182" s="6" t="s">
        <v>1638</v>
      </c>
      <c r="AA182" s="6">
        <f>IFERROR(VLOOKUP(B182,BD_Clez_Premigracion!C:C,1,FALSE),"No encontrado")</f>
        <v>1065138955</v>
      </c>
    </row>
    <row r="183" spans="1:27" x14ac:dyDescent="0.25">
      <c r="A183">
        <v>2373</v>
      </c>
      <c r="B183">
        <v>13568255</v>
      </c>
      <c r="C183">
        <v>1</v>
      </c>
      <c r="D183" s="6" t="s">
        <v>2237</v>
      </c>
      <c r="E183" s="6" t="s">
        <v>2238</v>
      </c>
      <c r="F183">
        <v>3044528010</v>
      </c>
      <c r="G183" s="6" t="s">
        <v>2239</v>
      </c>
      <c r="H183" s="6" t="s">
        <v>1638</v>
      </c>
      <c r="I183" s="6" t="s">
        <v>1638</v>
      </c>
      <c r="J183" s="6" t="s">
        <v>1638</v>
      </c>
      <c r="K183" s="7">
        <v>30786</v>
      </c>
      <c r="L183" s="6" t="s">
        <v>1638</v>
      </c>
      <c r="M183">
        <v>1</v>
      </c>
      <c r="N183">
        <v>10</v>
      </c>
      <c r="O183" s="6" t="s">
        <v>1638</v>
      </c>
      <c r="P183" s="6" t="s">
        <v>1638</v>
      </c>
      <c r="Q183" s="6" t="s">
        <v>1638</v>
      </c>
      <c r="R183" s="6" t="s">
        <v>1638</v>
      </c>
      <c r="S183" s="6" t="s">
        <v>1638</v>
      </c>
      <c r="T183" s="6" t="s">
        <v>1638</v>
      </c>
      <c r="U183" s="6" t="s">
        <v>1638</v>
      </c>
      <c r="V183" s="6" t="s">
        <v>1638</v>
      </c>
      <c r="W183" s="6" t="s">
        <v>35</v>
      </c>
      <c r="X183" s="7">
        <v>45943</v>
      </c>
      <c r="Y183">
        <v>0</v>
      </c>
      <c r="Z183" s="6" t="s">
        <v>1638</v>
      </c>
      <c r="AA183" s="6" t="str">
        <f>IFERROR(VLOOKUP(B183,BD_Clez_Premigracion!C:C,1,FALSE),"No encontrado")</f>
        <v>No encontrado</v>
      </c>
    </row>
    <row r="184" spans="1:27" x14ac:dyDescent="0.25">
      <c r="A184">
        <v>2383</v>
      </c>
      <c r="B184">
        <v>1005187841</v>
      </c>
      <c r="C184">
        <v>1</v>
      </c>
      <c r="D184" s="6" t="s">
        <v>2240</v>
      </c>
      <c r="E184" s="6" t="s">
        <v>2241</v>
      </c>
      <c r="F184">
        <v>3157290898</v>
      </c>
      <c r="G184" s="6" t="s">
        <v>2242</v>
      </c>
      <c r="H184" s="6" t="s">
        <v>1638</v>
      </c>
      <c r="I184" s="6" t="s">
        <v>1638</v>
      </c>
      <c r="J184" s="6" t="s">
        <v>1638</v>
      </c>
      <c r="K184" s="7">
        <v>36794</v>
      </c>
      <c r="L184" s="6" t="s">
        <v>1638</v>
      </c>
      <c r="M184">
        <v>2</v>
      </c>
      <c r="N184">
        <v>7</v>
      </c>
      <c r="O184" s="6" t="s">
        <v>1638</v>
      </c>
      <c r="P184" s="6" t="s">
        <v>1638</v>
      </c>
      <c r="Q184" s="6" t="s">
        <v>1638</v>
      </c>
      <c r="R184" s="6" t="s">
        <v>1638</v>
      </c>
      <c r="S184" s="6" t="s">
        <v>1638</v>
      </c>
      <c r="T184" s="6" t="s">
        <v>1638</v>
      </c>
      <c r="U184" s="6" t="s">
        <v>1638</v>
      </c>
      <c r="V184" s="6" t="s">
        <v>1638</v>
      </c>
      <c r="W184" s="6" t="s">
        <v>1640</v>
      </c>
      <c r="X184" s="7">
        <v>45944</v>
      </c>
      <c r="Y184">
        <v>0</v>
      </c>
      <c r="Z184" s="6" t="s">
        <v>1638</v>
      </c>
      <c r="AA184" s="6" t="str">
        <f>IFERROR(VLOOKUP(B184,BD_Clez_Premigracion!C:C,1,FALSE),"No encontrado")</f>
        <v>No encontrado</v>
      </c>
    </row>
    <row r="185" spans="1:27" x14ac:dyDescent="0.25">
      <c r="A185">
        <v>2384</v>
      </c>
      <c r="B185">
        <v>1098816087</v>
      </c>
      <c r="C185">
        <v>1</v>
      </c>
      <c r="D185" s="6" t="s">
        <v>2243</v>
      </c>
      <c r="E185" s="6" t="s">
        <v>2244</v>
      </c>
      <c r="F185">
        <v>3162364983</v>
      </c>
      <c r="G185" s="6" t="s">
        <v>2245</v>
      </c>
      <c r="H185" s="6" t="s">
        <v>1638</v>
      </c>
      <c r="I185" s="6" t="s">
        <v>2246</v>
      </c>
      <c r="J185" s="6" t="s">
        <v>1638</v>
      </c>
      <c r="K185" s="7">
        <v>36197</v>
      </c>
      <c r="L185" s="6" t="s">
        <v>1638</v>
      </c>
      <c r="M185">
        <v>1</v>
      </c>
      <c r="N185">
        <v>2</v>
      </c>
      <c r="O185" s="6" t="s">
        <v>1638</v>
      </c>
      <c r="P185" s="6" t="s">
        <v>1638</v>
      </c>
      <c r="Q185" s="6" t="s">
        <v>1638</v>
      </c>
      <c r="R185" s="6" t="s">
        <v>1639</v>
      </c>
      <c r="S185" s="6" t="s">
        <v>2247</v>
      </c>
      <c r="T185" s="6" t="s">
        <v>1721</v>
      </c>
      <c r="U185" s="6" t="s">
        <v>2248</v>
      </c>
      <c r="V185" s="6" t="s">
        <v>1638</v>
      </c>
      <c r="W185" s="6" t="s">
        <v>35</v>
      </c>
      <c r="X185" s="7">
        <v>45944</v>
      </c>
      <c r="Y185">
        <v>0</v>
      </c>
      <c r="Z185" s="6" t="s">
        <v>1709</v>
      </c>
      <c r="AA185" s="6" t="str">
        <f>IFERROR(VLOOKUP(B185,BD_Clez_Premigracion!C:C,1,FALSE),"No encontrado")</f>
        <v>No encontrado</v>
      </c>
    </row>
    <row r="186" spans="1:27" x14ac:dyDescent="0.25">
      <c r="A186">
        <v>2386</v>
      </c>
      <c r="B186">
        <v>1004878612</v>
      </c>
      <c r="C186">
        <v>1</v>
      </c>
      <c r="D186" s="6" t="s">
        <v>2249</v>
      </c>
      <c r="E186" s="6" t="s">
        <v>2250</v>
      </c>
      <c r="F186">
        <v>3205793971</v>
      </c>
      <c r="G186" s="6" t="s">
        <v>1592</v>
      </c>
      <c r="H186" s="6" t="s">
        <v>1638</v>
      </c>
      <c r="I186" s="6" t="s">
        <v>1638</v>
      </c>
      <c r="J186" s="6" t="s">
        <v>1638</v>
      </c>
      <c r="K186" s="7">
        <v>37389</v>
      </c>
      <c r="L186" s="6" t="s">
        <v>1638</v>
      </c>
      <c r="M186">
        <v>1</v>
      </c>
      <c r="N186">
        <v>6</v>
      </c>
      <c r="O186" s="6" t="s">
        <v>1638</v>
      </c>
      <c r="P186" s="6" t="s">
        <v>1638</v>
      </c>
      <c r="Q186" s="6" t="s">
        <v>1638</v>
      </c>
      <c r="R186" s="6" t="s">
        <v>1638</v>
      </c>
      <c r="S186" s="6" t="s">
        <v>1638</v>
      </c>
      <c r="T186" s="6" t="s">
        <v>1638</v>
      </c>
      <c r="U186" s="6" t="s">
        <v>1638</v>
      </c>
      <c r="V186" s="6" t="s">
        <v>1638</v>
      </c>
      <c r="W186" s="6" t="s">
        <v>35</v>
      </c>
      <c r="X186" s="7">
        <v>45944</v>
      </c>
      <c r="Y186">
        <v>0</v>
      </c>
      <c r="Z186" s="6" t="s">
        <v>1638</v>
      </c>
      <c r="AA186" s="6">
        <f>IFERROR(VLOOKUP(B186,BD_Clez_Premigracion!C:C,1,FALSE),"No encontrado")</f>
        <v>1004878612</v>
      </c>
    </row>
    <row r="187" spans="1:27" x14ac:dyDescent="0.25">
      <c r="A187">
        <v>2388</v>
      </c>
      <c r="B187">
        <v>1102726114</v>
      </c>
      <c r="C187">
        <v>1</v>
      </c>
      <c r="D187" s="6" t="s">
        <v>2251</v>
      </c>
      <c r="E187" s="6" t="s">
        <v>2252</v>
      </c>
      <c r="F187">
        <v>3142451534</v>
      </c>
      <c r="G187" s="6" t="s">
        <v>1182</v>
      </c>
      <c r="H187" s="6" t="s">
        <v>1638</v>
      </c>
      <c r="I187" s="6" t="s">
        <v>1182</v>
      </c>
      <c r="J187" s="6" t="s">
        <v>1638</v>
      </c>
      <c r="K187" s="7">
        <v>36387</v>
      </c>
      <c r="L187" s="6" t="s">
        <v>1638</v>
      </c>
      <c r="M187">
        <v>1</v>
      </c>
      <c r="N187">
        <v>1</v>
      </c>
      <c r="O187" s="6" t="s">
        <v>1638</v>
      </c>
      <c r="P187" s="6" t="s">
        <v>1638</v>
      </c>
      <c r="Q187" s="6" t="s">
        <v>1638</v>
      </c>
      <c r="R187" s="6" t="s">
        <v>1815</v>
      </c>
      <c r="S187" s="6" t="s">
        <v>2253</v>
      </c>
      <c r="T187" s="6" t="s">
        <v>1721</v>
      </c>
      <c r="U187" s="6" t="s">
        <v>2254</v>
      </c>
      <c r="V187" s="6" t="s">
        <v>1638</v>
      </c>
      <c r="W187" s="6" t="s">
        <v>35</v>
      </c>
      <c r="X187" s="7">
        <v>45944</v>
      </c>
      <c r="Y187">
        <v>0</v>
      </c>
      <c r="Z187" s="6" t="s">
        <v>1709</v>
      </c>
      <c r="AA187" s="6">
        <f>IFERROR(VLOOKUP(B187,BD_Clez_Premigracion!C:C,1,FALSE),"No encontrado")</f>
        <v>1102726114</v>
      </c>
    </row>
    <row r="188" spans="1:27" x14ac:dyDescent="0.25">
      <c r="A188">
        <v>2391</v>
      </c>
      <c r="B188">
        <v>1238138139</v>
      </c>
      <c r="C188">
        <v>1</v>
      </c>
      <c r="D188" s="6" t="s">
        <v>2175</v>
      </c>
      <c r="E188" s="6" t="s">
        <v>2255</v>
      </c>
      <c r="F188">
        <v>3102930590</v>
      </c>
      <c r="G188" s="6" t="s">
        <v>862</v>
      </c>
      <c r="H188" s="6" t="s">
        <v>1638</v>
      </c>
      <c r="I188" s="6" t="s">
        <v>1638</v>
      </c>
      <c r="J188" s="6" t="s">
        <v>1638</v>
      </c>
      <c r="K188" s="7">
        <v>36539</v>
      </c>
      <c r="L188" s="6" t="s">
        <v>1638</v>
      </c>
      <c r="M188">
        <v>2</v>
      </c>
      <c r="N188">
        <v>2</v>
      </c>
      <c r="O188" s="6" t="s">
        <v>1638</v>
      </c>
      <c r="P188" s="6" t="s">
        <v>1638</v>
      </c>
      <c r="Q188" s="6" t="s">
        <v>1638</v>
      </c>
      <c r="R188" s="6" t="s">
        <v>1638</v>
      </c>
      <c r="S188" s="6" t="s">
        <v>1638</v>
      </c>
      <c r="T188" s="6" t="s">
        <v>1638</v>
      </c>
      <c r="U188" s="6" t="s">
        <v>1638</v>
      </c>
      <c r="V188" s="6" t="s">
        <v>1638</v>
      </c>
      <c r="W188" s="6" t="s">
        <v>35</v>
      </c>
      <c r="X188" s="7">
        <v>45944</v>
      </c>
      <c r="Y188">
        <v>0</v>
      </c>
      <c r="Z188" s="6" t="s">
        <v>1638</v>
      </c>
      <c r="AA188" s="6">
        <f>IFERROR(VLOOKUP(B188,BD_Clez_Premigracion!C:C,1,FALSE),"No encontrado")</f>
        <v>1238138139</v>
      </c>
    </row>
    <row r="189" spans="1:27" x14ac:dyDescent="0.25">
      <c r="A189">
        <v>2392</v>
      </c>
      <c r="B189">
        <v>1007167795</v>
      </c>
      <c r="C189">
        <v>1</v>
      </c>
      <c r="D189" s="6" t="s">
        <v>2256</v>
      </c>
      <c r="E189" s="6" t="s">
        <v>2257</v>
      </c>
      <c r="F189">
        <v>3028270927</v>
      </c>
      <c r="G189" s="6" t="s">
        <v>839</v>
      </c>
      <c r="H189" s="6" t="s">
        <v>1638</v>
      </c>
      <c r="I189" s="6" t="s">
        <v>1638</v>
      </c>
      <c r="J189" s="6" t="s">
        <v>1638</v>
      </c>
      <c r="K189" s="7">
        <v>36875</v>
      </c>
      <c r="L189" s="6" t="s">
        <v>1638</v>
      </c>
      <c r="M189">
        <v>1</v>
      </c>
      <c r="N189">
        <v>4</v>
      </c>
      <c r="O189" s="6" t="s">
        <v>1638</v>
      </c>
      <c r="P189" s="6" t="s">
        <v>1638</v>
      </c>
      <c r="Q189" s="6" t="s">
        <v>1638</v>
      </c>
      <c r="R189" s="6" t="s">
        <v>1638</v>
      </c>
      <c r="S189" s="6" t="s">
        <v>1638</v>
      </c>
      <c r="T189" s="6" t="s">
        <v>1638</v>
      </c>
      <c r="U189" s="6" t="s">
        <v>1638</v>
      </c>
      <c r="V189" s="6" t="s">
        <v>1638</v>
      </c>
      <c r="W189" s="6" t="s">
        <v>35</v>
      </c>
      <c r="X189" s="7">
        <v>45944</v>
      </c>
      <c r="Y189">
        <v>0</v>
      </c>
      <c r="Z189" s="6" t="s">
        <v>1638</v>
      </c>
      <c r="AA189" s="6">
        <f>IFERROR(VLOOKUP(B189,BD_Clez_Premigracion!C:C,1,FALSE),"No encontrado")</f>
        <v>1007167795</v>
      </c>
    </row>
    <row r="190" spans="1:27" x14ac:dyDescent="0.25">
      <c r="A190">
        <v>2393</v>
      </c>
      <c r="B190">
        <v>1036251707</v>
      </c>
      <c r="C190">
        <v>1</v>
      </c>
      <c r="D190" s="6" t="s">
        <v>1641</v>
      </c>
      <c r="E190" s="6" t="s">
        <v>2258</v>
      </c>
      <c r="F190">
        <v>3115054813</v>
      </c>
      <c r="G190" s="6" t="s">
        <v>1185</v>
      </c>
      <c r="H190" s="6" t="s">
        <v>1638</v>
      </c>
      <c r="I190" s="6" t="s">
        <v>1638</v>
      </c>
      <c r="J190" s="6" t="s">
        <v>1638</v>
      </c>
      <c r="K190" s="7">
        <v>38424</v>
      </c>
      <c r="L190" s="6" t="s">
        <v>1638</v>
      </c>
      <c r="M190">
        <v>2</v>
      </c>
      <c r="N190">
        <v>9</v>
      </c>
      <c r="O190" s="6" t="s">
        <v>1638</v>
      </c>
      <c r="P190" s="6" t="s">
        <v>1638</v>
      </c>
      <c r="Q190" s="6" t="s">
        <v>1638</v>
      </c>
      <c r="R190" s="6" t="s">
        <v>1638</v>
      </c>
      <c r="S190" s="6" t="s">
        <v>1638</v>
      </c>
      <c r="T190" s="6" t="s">
        <v>1638</v>
      </c>
      <c r="U190" s="6" t="s">
        <v>1638</v>
      </c>
      <c r="V190" s="6" t="s">
        <v>1638</v>
      </c>
      <c r="W190" s="6" t="s">
        <v>35</v>
      </c>
      <c r="X190" s="7">
        <v>45944</v>
      </c>
      <c r="Y190">
        <v>0</v>
      </c>
      <c r="Z190" s="6" t="s">
        <v>1638</v>
      </c>
      <c r="AA190" s="6">
        <f>IFERROR(VLOOKUP(B190,BD_Clez_Premigracion!C:C,1,FALSE),"No encontrado")</f>
        <v>1036251707</v>
      </c>
    </row>
    <row r="191" spans="1:27" x14ac:dyDescent="0.25">
      <c r="A191">
        <v>2390</v>
      </c>
      <c r="B191">
        <v>1097492214</v>
      </c>
      <c r="C191">
        <v>1</v>
      </c>
      <c r="D191" s="6" t="s">
        <v>2259</v>
      </c>
      <c r="E191" s="6" t="s">
        <v>2260</v>
      </c>
      <c r="F191">
        <v>3162676608</v>
      </c>
      <c r="G191" s="6" t="s">
        <v>948</v>
      </c>
      <c r="H191" s="6" t="s">
        <v>1638</v>
      </c>
      <c r="I191" s="6" t="s">
        <v>1638</v>
      </c>
      <c r="J191" s="6" t="s">
        <v>1638</v>
      </c>
      <c r="K191" s="7">
        <v>38706</v>
      </c>
      <c r="L191" s="6" t="s">
        <v>1638</v>
      </c>
      <c r="M191">
        <v>2</v>
      </c>
      <c r="N191">
        <v>2</v>
      </c>
      <c r="O191" s="6" t="s">
        <v>1638</v>
      </c>
      <c r="P191" s="6" t="s">
        <v>1638</v>
      </c>
      <c r="Q191" s="6" t="s">
        <v>1638</v>
      </c>
      <c r="R191" s="6" t="s">
        <v>1638</v>
      </c>
      <c r="S191" s="6" t="s">
        <v>1638</v>
      </c>
      <c r="T191" s="6" t="s">
        <v>1638</v>
      </c>
      <c r="U191" s="6" t="s">
        <v>1638</v>
      </c>
      <c r="V191" s="6" t="s">
        <v>1638</v>
      </c>
      <c r="W191" s="6" t="s">
        <v>35</v>
      </c>
      <c r="X191" s="7">
        <v>45944</v>
      </c>
      <c r="Y191">
        <v>0</v>
      </c>
      <c r="Z191" s="6" t="s">
        <v>1638</v>
      </c>
      <c r="AA191" s="6">
        <f>IFERROR(VLOOKUP(B191,BD_Clez_Premigracion!C:C,1,FALSE),"No encontrado")</f>
        <v>1097492214</v>
      </c>
    </row>
    <row r="192" spans="1:27" x14ac:dyDescent="0.25">
      <c r="A192">
        <v>2187</v>
      </c>
      <c r="B192">
        <v>1005328085</v>
      </c>
      <c r="C192">
        <v>1</v>
      </c>
      <c r="D192" s="6" t="s">
        <v>2261</v>
      </c>
      <c r="E192" s="6" t="s">
        <v>2262</v>
      </c>
      <c r="F192">
        <v>3108153351</v>
      </c>
      <c r="G192" s="6" t="s">
        <v>955</v>
      </c>
      <c r="H192" s="6" t="s">
        <v>1638</v>
      </c>
      <c r="I192" s="6" t="s">
        <v>1638</v>
      </c>
      <c r="J192" s="6" t="s">
        <v>1638</v>
      </c>
      <c r="K192" s="7">
        <v>37422</v>
      </c>
      <c r="L192" s="6" t="s">
        <v>1638</v>
      </c>
      <c r="M192">
        <v>1</v>
      </c>
      <c r="N192">
        <v>2</v>
      </c>
      <c r="O192" s="6" t="s">
        <v>1638</v>
      </c>
      <c r="P192" s="6" t="s">
        <v>1638</v>
      </c>
      <c r="Q192" s="6" t="s">
        <v>1638</v>
      </c>
      <c r="R192" s="6" t="s">
        <v>1638</v>
      </c>
      <c r="S192" s="6" t="s">
        <v>1638</v>
      </c>
      <c r="T192" s="6" t="s">
        <v>1638</v>
      </c>
      <c r="U192" s="6" t="s">
        <v>1638</v>
      </c>
      <c r="V192" s="6" t="s">
        <v>1638</v>
      </c>
      <c r="W192" s="6" t="s">
        <v>35</v>
      </c>
      <c r="X192" s="7">
        <v>45922</v>
      </c>
      <c r="Y192">
        <v>0</v>
      </c>
      <c r="Z192" s="6" t="s">
        <v>1638</v>
      </c>
      <c r="AA192" s="6">
        <f>IFERROR(VLOOKUP(B192,BD_Clez_Premigracion!C:C,1,FALSE),"No encontrado")</f>
        <v>1005328085</v>
      </c>
    </row>
    <row r="193" spans="1:27" x14ac:dyDescent="0.25">
      <c r="A193">
        <v>2396</v>
      </c>
      <c r="B193">
        <v>1097780926</v>
      </c>
      <c r="C193">
        <v>1</v>
      </c>
      <c r="D193" s="6" t="s">
        <v>2263</v>
      </c>
      <c r="E193" s="6" t="s">
        <v>2264</v>
      </c>
      <c r="F193">
        <v>3156260158</v>
      </c>
      <c r="G193" s="6" t="s">
        <v>2265</v>
      </c>
      <c r="H193" s="6" t="s">
        <v>1638</v>
      </c>
      <c r="I193" s="6" t="s">
        <v>2266</v>
      </c>
      <c r="J193" s="6" t="s">
        <v>1638</v>
      </c>
      <c r="K193" s="7">
        <v>38150</v>
      </c>
      <c r="L193" s="6" t="s">
        <v>1638</v>
      </c>
      <c r="M193">
        <v>2</v>
      </c>
      <c r="N193">
        <v>2</v>
      </c>
      <c r="O193" s="6" t="s">
        <v>1638</v>
      </c>
      <c r="P193" s="6" t="s">
        <v>1638</v>
      </c>
      <c r="Q193" s="6" t="s">
        <v>1638</v>
      </c>
      <c r="R193" s="6" t="s">
        <v>1639</v>
      </c>
      <c r="S193" s="6" t="s">
        <v>2267</v>
      </c>
      <c r="T193" s="6" t="s">
        <v>1721</v>
      </c>
      <c r="U193" s="6" t="s">
        <v>2268</v>
      </c>
      <c r="V193" s="6" t="s">
        <v>1638</v>
      </c>
      <c r="W193" s="6" t="s">
        <v>35</v>
      </c>
      <c r="X193" s="7">
        <v>45945</v>
      </c>
      <c r="Y193">
        <v>0</v>
      </c>
      <c r="Z193" s="6" t="s">
        <v>2269</v>
      </c>
      <c r="AA193" s="6" t="str">
        <f>IFERROR(VLOOKUP(B193,BD_Clez_Premigracion!C:C,1,FALSE),"No encontrado")</f>
        <v>No encontrado</v>
      </c>
    </row>
    <row r="194" spans="1:27" x14ac:dyDescent="0.25">
      <c r="A194">
        <v>2398</v>
      </c>
      <c r="B194">
        <v>1098701504</v>
      </c>
      <c r="C194">
        <v>1</v>
      </c>
      <c r="D194" s="6" t="s">
        <v>2270</v>
      </c>
      <c r="E194" s="6" t="s">
        <v>2271</v>
      </c>
      <c r="F194">
        <v>3206906060</v>
      </c>
      <c r="G194" s="6" t="s">
        <v>2272</v>
      </c>
      <c r="H194" s="6" t="s">
        <v>1638</v>
      </c>
      <c r="I194" s="6" t="s">
        <v>1638</v>
      </c>
      <c r="J194" s="6" t="s">
        <v>1638</v>
      </c>
      <c r="K194" s="7">
        <v>33269</v>
      </c>
      <c r="L194" s="6" t="s">
        <v>1638</v>
      </c>
      <c r="M194">
        <v>2</v>
      </c>
      <c r="N194">
        <v>9</v>
      </c>
      <c r="O194" s="6" t="s">
        <v>1638</v>
      </c>
      <c r="P194" s="6" t="s">
        <v>1638</v>
      </c>
      <c r="Q194" s="6" t="s">
        <v>1638</v>
      </c>
      <c r="R194" s="6" t="s">
        <v>1638</v>
      </c>
      <c r="S194" s="6" t="s">
        <v>1638</v>
      </c>
      <c r="T194" s="6" t="s">
        <v>1638</v>
      </c>
      <c r="U194" s="6" t="s">
        <v>1638</v>
      </c>
      <c r="V194" s="6" t="s">
        <v>1638</v>
      </c>
      <c r="W194" s="6" t="s">
        <v>35</v>
      </c>
      <c r="X194" s="7">
        <v>45945</v>
      </c>
      <c r="Y194">
        <v>0</v>
      </c>
      <c r="Z194" s="6" t="s">
        <v>1638</v>
      </c>
      <c r="AA194" s="6">
        <f>IFERROR(VLOOKUP(B194,BD_Clez_Premigracion!C:C,1,FALSE),"No encontrado")</f>
        <v>1098701504</v>
      </c>
    </row>
    <row r="195" spans="1:27" x14ac:dyDescent="0.25">
      <c r="A195">
        <v>2401</v>
      </c>
      <c r="B195">
        <v>1005210983</v>
      </c>
      <c r="C195">
        <v>1</v>
      </c>
      <c r="D195" s="6" t="s">
        <v>2273</v>
      </c>
      <c r="E195" s="6" t="s">
        <v>2274</v>
      </c>
      <c r="F195">
        <v>3202681597</v>
      </c>
      <c r="G195" s="6" t="s">
        <v>819</v>
      </c>
      <c r="H195" s="6" t="s">
        <v>1638</v>
      </c>
      <c r="I195" s="6" t="s">
        <v>1638</v>
      </c>
      <c r="J195" s="6" t="s">
        <v>1638</v>
      </c>
      <c r="K195" s="7">
        <v>37850</v>
      </c>
      <c r="L195" s="6" t="s">
        <v>1638</v>
      </c>
      <c r="M195">
        <v>2</v>
      </c>
      <c r="N195">
        <v>10</v>
      </c>
      <c r="O195" s="6" t="s">
        <v>1638</v>
      </c>
      <c r="P195" s="6" t="s">
        <v>1638</v>
      </c>
      <c r="Q195" s="6" t="s">
        <v>1638</v>
      </c>
      <c r="R195" s="6" t="s">
        <v>1638</v>
      </c>
      <c r="S195" s="6" t="s">
        <v>1638</v>
      </c>
      <c r="T195" s="6" t="s">
        <v>1638</v>
      </c>
      <c r="U195" s="6" t="s">
        <v>1638</v>
      </c>
      <c r="V195" s="6" t="s">
        <v>1638</v>
      </c>
      <c r="W195" s="6" t="s">
        <v>35</v>
      </c>
      <c r="X195" s="7">
        <v>45945</v>
      </c>
      <c r="Y195">
        <v>0</v>
      </c>
      <c r="Z195" s="6" t="s">
        <v>1638</v>
      </c>
      <c r="AA195" s="6">
        <f>IFERROR(VLOOKUP(B195,BD_Clez_Premigracion!C:C,1,FALSE),"No encontrado")</f>
        <v>1005210983</v>
      </c>
    </row>
    <row r="196" spans="1:27" x14ac:dyDescent="0.25">
      <c r="A196">
        <v>2400</v>
      </c>
      <c r="B196">
        <v>1005051157</v>
      </c>
      <c r="C196">
        <v>1</v>
      </c>
      <c r="D196" s="6" t="s">
        <v>2275</v>
      </c>
      <c r="E196" s="6" t="s">
        <v>2276</v>
      </c>
      <c r="F196">
        <v>3202871209</v>
      </c>
      <c r="G196" s="6" t="s">
        <v>2277</v>
      </c>
      <c r="H196" s="6" t="s">
        <v>1638</v>
      </c>
      <c r="I196" s="6" t="s">
        <v>1638</v>
      </c>
      <c r="J196" s="6" t="s">
        <v>1638</v>
      </c>
      <c r="K196" s="7">
        <v>36521</v>
      </c>
      <c r="L196" s="6" t="s">
        <v>1638</v>
      </c>
      <c r="M196">
        <v>2</v>
      </c>
      <c r="N196">
        <v>4</v>
      </c>
      <c r="O196" s="6" t="s">
        <v>1638</v>
      </c>
      <c r="P196" s="6" t="s">
        <v>1638</v>
      </c>
      <c r="Q196" s="6" t="s">
        <v>1638</v>
      </c>
      <c r="R196" s="6" t="s">
        <v>1638</v>
      </c>
      <c r="S196" s="6" t="s">
        <v>1638</v>
      </c>
      <c r="T196" s="6" t="s">
        <v>1638</v>
      </c>
      <c r="U196" s="6" t="s">
        <v>1638</v>
      </c>
      <c r="V196" s="6" t="s">
        <v>1638</v>
      </c>
      <c r="W196" s="6" t="s">
        <v>1640</v>
      </c>
      <c r="X196" s="7">
        <v>45945</v>
      </c>
      <c r="Y196">
        <v>0</v>
      </c>
      <c r="Z196" s="6" t="s">
        <v>1638</v>
      </c>
      <c r="AA196" s="6" t="str">
        <f>IFERROR(VLOOKUP(B196,BD_Clez_Premigracion!C:C,1,FALSE),"No encontrado")</f>
        <v>No encontrado</v>
      </c>
    </row>
    <row r="197" spans="1:27" x14ac:dyDescent="0.25">
      <c r="A197">
        <v>2402</v>
      </c>
      <c r="B197">
        <v>63454268</v>
      </c>
      <c r="C197">
        <v>1</v>
      </c>
      <c r="D197" s="6" t="s">
        <v>2278</v>
      </c>
      <c r="E197" s="6" t="s">
        <v>2279</v>
      </c>
      <c r="F197">
        <v>3157695204</v>
      </c>
      <c r="G197" s="6" t="s">
        <v>2280</v>
      </c>
      <c r="H197" s="6" t="s">
        <v>1638</v>
      </c>
      <c r="I197" s="6" t="s">
        <v>1638</v>
      </c>
      <c r="J197" s="6" t="s">
        <v>1638</v>
      </c>
      <c r="K197" s="7">
        <v>31185</v>
      </c>
      <c r="L197" s="6" t="s">
        <v>1638</v>
      </c>
      <c r="M197">
        <v>2</v>
      </c>
      <c r="N197">
        <v>3</v>
      </c>
      <c r="O197" s="6" t="s">
        <v>1638</v>
      </c>
      <c r="P197" s="6" t="s">
        <v>1638</v>
      </c>
      <c r="Q197" s="6" t="s">
        <v>1638</v>
      </c>
      <c r="R197" s="6" t="s">
        <v>1638</v>
      </c>
      <c r="S197" s="6" t="s">
        <v>1638</v>
      </c>
      <c r="T197" s="6" t="s">
        <v>1638</v>
      </c>
      <c r="U197" s="6" t="s">
        <v>1638</v>
      </c>
      <c r="V197" s="6" t="s">
        <v>1638</v>
      </c>
      <c r="W197" s="6" t="s">
        <v>35</v>
      </c>
      <c r="X197" s="7">
        <v>45945</v>
      </c>
      <c r="Y197">
        <v>0</v>
      </c>
      <c r="Z197" s="6" t="s">
        <v>1638</v>
      </c>
      <c r="AA197" s="6" t="str">
        <f>IFERROR(VLOOKUP(B197,BD_Clez_Premigracion!C:C,1,FALSE),"No encontrado")</f>
        <v>No encontrado</v>
      </c>
    </row>
    <row r="198" spans="1:27" x14ac:dyDescent="0.25">
      <c r="A198">
        <v>2403</v>
      </c>
      <c r="B198">
        <v>1005324274</v>
      </c>
      <c r="C198">
        <v>1</v>
      </c>
      <c r="D198" s="6" t="s">
        <v>2281</v>
      </c>
      <c r="E198" s="6" t="s">
        <v>2282</v>
      </c>
      <c r="F198">
        <v>3107792786</v>
      </c>
      <c r="G198" s="6" t="s">
        <v>2283</v>
      </c>
      <c r="H198" s="6" t="s">
        <v>1638</v>
      </c>
      <c r="I198" s="6" t="s">
        <v>2284</v>
      </c>
      <c r="J198" s="6" t="s">
        <v>1638</v>
      </c>
      <c r="K198" s="7">
        <v>37116</v>
      </c>
      <c r="L198" s="6" t="s">
        <v>1638</v>
      </c>
      <c r="M198">
        <v>1</v>
      </c>
      <c r="N198">
        <v>5</v>
      </c>
      <c r="O198" s="6" t="s">
        <v>1638</v>
      </c>
      <c r="P198" s="6" t="s">
        <v>1638</v>
      </c>
      <c r="Q198" s="6" t="s">
        <v>1638</v>
      </c>
      <c r="R198" s="6" t="s">
        <v>1695</v>
      </c>
      <c r="S198" s="6" t="s">
        <v>2285</v>
      </c>
      <c r="T198" s="6" t="s">
        <v>1707</v>
      </c>
      <c r="U198" s="6" t="s">
        <v>2286</v>
      </c>
      <c r="V198" s="6" t="s">
        <v>1638</v>
      </c>
      <c r="W198" s="6" t="s">
        <v>35</v>
      </c>
      <c r="X198" s="7">
        <v>45945</v>
      </c>
      <c r="Y198">
        <v>0</v>
      </c>
      <c r="Z198" s="6" t="s">
        <v>2287</v>
      </c>
      <c r="AA198" s="6" t="str">
        <f>IFERROR(VLOOKUP(B198,BD_Clez_Premigracion!C:C,1,FALSE),"No encontrado")</f>
        <v>No encontrado</v>
      </c>
    </row>
    <row r="199" spans="1:27" x14ac:dyDescent="0.25">
      <c r="A199">
        <v>2404</v>
      </c>
      <c r="B199">
        <v>1096062857</v>
      </c>
      <c r="C199">
        <v>1</v>
      </c>
      <c r="D199" s="6" t="s">
        <v>2288</v>
      </c>
      <c r="E199" s="6" t="s">
        <v>2282</v>
      </c>
      <c r="F199">
        <v>3507829073</v>
      </c>
      <c r="G199" s="6" t="s">
        <v>2289</v>
      </c>
      <c r="H199" s="6" t="s">
        <v>1638</v>
      </c>
      <c r="I199" s="6" t="s">
        <v>2284</v>
      </c>
      <c r="J199" s="6" t="s">
        <v>1638</v>
      </c>
      <c r="K199" s="7">
        <v>37949</v>
      </c>
      <c r="L199" s="6" t="s">
        <v>1638</v>
      </c>
      <c r="M199">
        <v>1</v>
      </c>
      <c r="N199">
        <v>5</v>
      </c>
      <c r="O199" s="6" t="s">
        <v>1638</v>
      </c>
      <c r="P199" s="6" t="s">
        <v>1638</v>
      </c>
      <c r="Q199" s="6" t="s">
        <v>1638</v>
      </c>
      <c r="R199" s="6" t="s">
        <v>1695</v>
      </c>
      <c r="S199" s="6" t="s">
        <v>2290</v>
      </c>
      <c r="T199" s="6" t="s">
        <v>1707</v>
      </c>
      <c r="U199" s="6" t="s">
        <v>2291</v>
      </c>
      <c r="V199" s="6" t="s">
        <v>1638</v>
      </c>
      <c r="W199" s="6" t="s">
        <v>35</v>
      </c>
      <c r="X199" s="7">
        <v>45945</v>
      </c>
      <c r="Y199">
        <v>0</v>
      </c>
      <c r="Z199" s="6" t="s">
        <v>2287</v>
      </c>
      <c r="AA199" s="6" t="str">
        <f>IFERROR(VLOOKUP(B199,BD_Clez_Premigracion!C:C,1,FALSE),"No encontrado")</f>
        <v>No encontrado</v>
      </c>
    </row>
    <row r="200" spans="1:27" x14ac:dyDescent="0.25">
      <c r="A200">
        <v>2387</v>
      </c>
      <c r="B200">
        <v>1097500305</v>
      </c>
      <c r="C200">
        <v>3</v>
      </c>
      <c r="D200" s="6" t="s">
        <v>2292</v>
      </c>
      <c r="E200" s="6" t="s">
        <v>2293</v>
      </c>
      <c r="F200">
        <v>3136468251</v>
      </c>
      <c r="G200" s="6" t="s">
        <v>2294</v>
      </c>
      <c r="H200" s="6" t="s">
        <v>1638</v>
      </c>
      <c r="I200" s="6" t="s">
        <v>2295</v>
      </c>
      <c r="J200" s="6" t="s">
        <v>1638</v>
      </c>
      <c r="K200" s="7">
        <v>39766</v>
      </c>
      <c r="L200" s="6" t="s">
        <v>1638</v>
      </c>
      <c r="M200">
        <v>1</v>
      </c>
      <c r="N200">
        <v>1</v>
      </c>
      <c r="O200" s="6" t="s">
        <v>1638</v>
      </c>
      <c r="P200" s="6" t="s">
        <v>1638</v>
      </c>
      <c r="Q200" s="6" t="s">
        <v>1638</v>
      </c>
      <c r="R200" s="6" t="s">
        <v>1848</v>
      </c>
      <c r="S200" s="6" t="s">
        <v>2296</v>
      </c>
      <c r="T200" s="6" t="s">
        <v>1721</v>
      </c>
      <c r="U200" s="6" t="s">
        <v>2297</v>
      </c>
      <c r="V200" s="6" t="s">
        <v>1638</v>
      </c>
      <c r="W200" s="6" t="s">
        <v>35</v>
      </c>
      <c r="X200" s="7">
        <v>45944</v>
      </c>
      <c r="Y200">
        <v>0</v>
      </c>
      <c r="Z200" s="6" t="s">
        <v>1709</v>
      </c>
      <c r="AA200" s="6" t="str">
        <f>IFERROR(VLOOKUP(B200,BD_Clez_Premigracion!C:C,1,FALSE),"No encontrado")</f>
        <v>No encontrado</v>
      </c>
    </row>
    <row r="201" spans="1:27" x14ac:dyDescent="0.25">
      <c r="A201">
        <v>2406</v>
      </c>
      <c r="B201">
        <v>1100964234</v>
      </c>
      <c r="C201">
        <v>1</v>
      </c>
      <c r="D201" s="6" t="s">
        <v>2298</v>
      </c>
      <c r="E201" s="6" t="s">
        <v>2299</v>
      </c>
      <c r="F201">
        <v>3187795198</v>
      </c>
      <c r="G201" s="6" t="s">
        <v>897</v>
      </c>
      <c r="H201" s="6" t="s">
        <v>1638</v>
      </c>
      <c r="I201" s="6" t="s">
        <v>1638</v>
      </c>
      <c r="J201" s="6" t="s">
        <v>1638</v>
      </c>
      <c r="K201" s="7">
        <v>34256</v>
      </c>
      <c r="L201" s="6" t="s">
        <v>1638</v>
      </c>
      <c r="M201">
        <v>1</v>
      </c>
      <c r="N201">
        <v>5</v>
      </c>
      <c r="O201" s="6" t="s">
        <v>1638</v>
      </c>
      <c r="P201" s="6" t="s">
        <v>1638</v>
      </c>
      <c r="Q201" s="6" t="s">
        <v>1638</v>
      </c>
      <c r="R201" s="6" t="s">
        <v>1638</v>
      </c>
      <c r="S201" s="6" t="s">
        <v>1638</v>
      </c>
      <c r="T201" s="6" t="s">
        <v>1638</v>
      </c>
      <c r="U201" s="6" t="s">
        <v>1638</v>
      </c>
      <c r="V201" s="6" t="s">
        <v>1638</v>
      </c>
      <c r="W201" s="6" t="s">
        <v>35</v>
      </c>
      <c r="X201" s="7">
        <v>45945</v>
      </c>
      <c r="Y201">
        <v>0</v>
      </c>
      <c r="Z201" s="6" t="s">
        <v>1638</v>
      </c>
      <c r="AA201" s="6">
        <f>IFERROR(VLOOKUP(B201,BD_Clez_Premigracion!C:C,1,FALSE),"No encontrado")</f>
        <v>1100964234</v>
      </c>
    </row>
    <row r="202" spans="1:27" x14ac:dyDescent="0.25">
      <c r="A202">
        <v>2407</v>
      </c>
      <c r="B202">
        <v>1098739458</v>
      </c>
      <c r="C202">
        <v>1</v>
      </c>
      <c r="D202" s="6" t="s">
        <v>2300</v>
      </c>
      <c r="E202" s="6" t="s">
        <v>2301</v>
      </c>
      <c r="F202">
        <v>3213938876</v>
      </c>
      <c r="G202" s="6" t="s">
        <v>1083</v>
      </c>
      <c r="H202" s="6" t="s">
        <v>1638</v>
      </c>
      <c r="I202" s="6" t="s">
        <v>1638</v>
      </c>
      <c r="J202" s="6" t="s">
        <v>1638</v>
      </c>
      <c r="K202" s="7">
        <v>34118</v>
      </c>
      <c r="L202" s="6" t="s">
        <v>1638</v>
      </c>
      <c r="M202">
        <v>2</v>
      </c>
      <c r="N202">
        <v>9</v>
      </c>
      <c r="O202" s="6" t="s">
        <v>1638</v>
      </c>
      <c r="P202" s="6" t="s">
        <v>1638</v>
      </c>
      <c r="Q202" s="6" t="s">
        <v>1638</v>
      </c>
      <c r="R202" s="6" t="s">
        <v>1638</v>
      </c>
      <c r="S202" s="6" t="s">
        <v>1638</v>
      </c>
      <c r="T202" s="6" t="s">
        <v>1638</v>
      </c>
      <c r="U202" s="6" t="s">
        <v>1638</v>
      </c>
      <c r="V202" s="6" t="s">
        <v>1638</v>
      </c>
      <c r="W202" s="6" t="s">
        <v>35</v>
      </c>
      <c r="X202" s="7">
        <v>45945</v>
      </c>
      <c r="Y202">
        <v>0</v>
      </c>
      <c r="Z202" s="6" t="s">
        <v>1638</v>
      </c>
      <c r="AA202" s="6">
        <f>IFERROR(VLOOKUP(B202,BD_Clez_Premigracion!C:C,1,FALSE),"No encontrado")</f>
        <v>1098739458</v>
      </c>
    </row>
    <row r="203" spans="1:27" x14ac:dyDescent="0.25">
      <c r="A203">
        <v>2409</v>
      </c>
      <c r="B203">
        <v>1044621284</v>
      </c>
      <c r="C203">
        <v>1</v>
      </c>
      <c r="D203" s="6" t="s">
        <v>2302</v>
      </c>
      <c r="E203" s="6" t="s">
        <v>2303</v>
      </c>
      <c r="F203">
        <v>3053197353</v>
      </c>
      <c r="G203" s="6" t="s">
        <v>2304</v>
      </c>
      <c r="H203" s="6" t="s">
        <v>1638</v>
      </c>
      <c r="I203" s="6" t="s">
        <v>1638</v>
      </c>
      <c r="J203" s="6" t="s">
        <v>1638</v>
      </c>
      <c r="K203" s="7">
        <v>38668</v>
      </c>
      <c r="L203" s="6" t="s">
        <v>1638</v>
      </c>
      <c r="M203">
        <v>2</v>
      </c>
      <c r="N203">
        <v>5</v>
      </c>
      <c r="O203" s="6" t="s">
        <v>1638</v>
      </c>
      <c r="P203" s="6" t="s">
        <v>1638</v>
      </c>
      <c r="Q203" s="6" t="s">
        <v>1638</v>
      </c>
      <c r="R203" s="6" t="s">
        <v>1638</v>
      </c>
      <c r="S203" s="6" t="s">
        <v>1638</v>
      </c>
      <c r="T203" s="6" t="s">
        <v>1638</v>
      </c>
      <c r="U203" s="6" t="s">
        <v>1638</v>
      </c>
      <c r="V203" s="6" t="s">
        <v>1638</v>
      </c>
      <c r="W203" s="6" t="s">
        <v>1640</v>
      </c>
      <c r="X203" s="7">
        <v>45945</v>
      </c>
      <c r="Y203">
        <v>0</v>
      </c>
      <c r="Z203" s="6" t="s">
        <v>1638</v>
      </c>
      <c r="AA203" s="6" t="str">
        <f>IFERROR(VLOOKUP(B203,BD_Clez_Premigracion!C:C,1,FALSE),"No encontrado")</f>
        <v>No encontrado</v>
      </c>
    </row>
    <row r="204" spans="1:27" x14ac:dyDescent="0.25">
      <c r="A204">
        <v>2411</v>
      </c>
      <c r="B204">
        <v>1090470570</v>
      </c>
      <c r="C204">
        <v>1</v>
      </c>
      <c r="D204" s="6" t="s">
        <v>2305</v>
      </c>
      <c r="E204" s="6" t="s">
        <v>2306</v>
      </c>
      <c r="F204">
        <v>3219629934</v>
      </c>
      <c r="G204" s="6" t="s">
        <v>2307</v>
      </c>
      <c r="H204" s="6" t="s">
        <v>1638</v>
      </c>
      <c r="I204" s="6" t="s">
        <v>2308</v>
      </c>
      <c r="J204" s="6" t="s">
        <v>1638</v>
      </c>
      <c r="K204" s="7">
        <v>34320</v>
      </c>
      <c r="L204" s="6" t="s">
        <v>1638</v>
      </c>
      <c r="M204">
        <v>2</v>
      </c>
      <c r="N204">
        <v>4</v>
      </c>
      <c r="O204" s="6" t="s">
        <v>1638</v>
      </c>
      <c r="P204" s="6" t="s">
        <v>1638</v>
      </c>
      <c r="Q204" s="6" t="s">
        <v>1638</v>
      </c>
      <c r="R204" s="6" t="s">
        <v>2309</v>
      </c>
      <c r="S204" s="6" t="s">
        <v>2310</v>
      </c>
      <c r="T204" s="6" t="s">
        <v>1842</v>
      </c>
      <c r="U204" s="6" t="s">
        <v>2311</v>
      </c>
      <c r="V204" s="6" t="s">
        <v>1638</v>
      </c>
      <c r="W204" s="6" t="s">
        <v>35</v>
      </c>
      <c r="X204" s="7">
        <v>45945</v>
      </c>
      <c r="Y204">
        <v>0</v>
      </c>
      <c r="Z204" s="6" t="s">
        <v>1709</v>
      </c>
      <c r="AA204" s="6" t="str">
        <f>IFERROR(VLOOKUP(B204,BD_Clez_Premigracion!C:C,1,FALSE),"No encontrado")</f>
        <v>No encontrado</v>
      </c>
    </row>
    <row r="205" spans="1:27" x14ac:dyDescent="0.25">
      <c r="A205">
        <v>2410</v>
      </c>
      <c r="B205">
        <v>1090510431</v>
      </c>
      <c r="C205">
        <v>1</v>
      </c>
      <c r="D205" s="6" t="s">
        <v>1669</v>
      </c>
      <c r="E205" s="6" t="s">
        <v>2312</v>
      </c>
      <c r="F205">
        <v>3011688699</v>
      </c>
      <c r="G205" s="6" t="s">
        <v>2313</v>
      </c>
      <c r="H205" s="6" t="s">
        <v>1638</v>
      </c>
      <c r="I205" s="6" t="s">
        <v>2314</v>
      </c>
      <c r="J205" s="6" t="s">
        <v>1638</v>
      </c>
      <c r="K205" s="7">
        <v>35749</v>
      </c>
      <c r="L205" s="6" t="s">
        <v>1638</v>
      </c>
      <c r="M205">
        <v>1</v>
      </c>
      <c r="N205">
        <v>4</v>
      </c>
      <c r="O205" s="6" t="s">
        <v>1638</v>
      </c>
      <c r="P205" s="6" t="s">
        <v>1638</v>
      </c>
      <c r="Q205" s="6" t="s">
        <v>1638</v>
      </c>
      <c r="R205" s="6" t="s">
        <v>1663</v>
      </c>
      <c r="S205" s="6" t="s">
        <v>2315</v>
      </c>
      <c r="T205" s="6" t="s">
        <v>1721</v>
      </c>
      <c r="U205" s="6" t="s">
        <v>2316</v>
      </c>
      <c r="V205" s="6" t="s">
        <v>1638</v>
      </c>
      <c r="W205" s="6" t="s">
        <v>35</v>
      </c>
      <c r="X205" s="7">
        <v>45945</v>
      </c>
      <c r="Y205">
        <v>0</v>
      </c>
      <c r="Z205" s="6" t="s">
        <v>2317</v>
      </c>
      <c r="AA205" s="6" t="str">
        <f>IFERROR(VLOOKUP(B205,BD_Clez_Premigracion!C:C,1,FALSE),"No encontrado")</f>
        <v>No encontrado</v>
      </c>
    </row>
    <row r="206" spans="1:27" x14ac:dyDescent="0.25">
      <c r="A206">
        <v>2412</v>
      </c>
      <c r="B206">
        <v>1232889880</v>
      </c>
      <c r="C206">
        <v>1</v>
      </c>
      <c r="D206" s="6" t="s">
        <v>2318</v>
      </c>
      <c r="E206" s="6" t="s">
        <v>2319</v>
      </c>
      <c r="F206">
        <v>3023739241</v>
      </c>
      <c r="G206" s="6" t="s">
        <v>2320</v>
      </c>
      <c r="H206" s="6" t="s">
        <v>1638</v>
      </c>
      <c r="I206" s="6" t="s">
        <v>2321</v>
      </c>
      <c r="J206" s="6" t="s">
        <v>1638</v>
      </c>
      <c r="K206" s="7">
        <v>35966</v>
      </c>
      <c r="L206" s="6" t="s">
        <v>1638</v>
      </c>
      <c r="M206">
        <v>1</v>
      </c>
      <c r="N206">
        <v>2</v>
      </c>
      <c r="O206" s="6" t="s">
        <v>1638</v>
      </c>
      <c r="P206" s="6" t="s">
        <v>1638</v>
      </c>
      <c r="Q206" s="6" t="s">
        <v>1638</v>
      </c>
      <c r="R206" s="6" t="s">
        <v>1663</v>
      </c>
      <c r="S206" s="6" t="s">
        <v>2322</v>
      </c>
      <c r="T206" s="6" t="s">
        <v>1721</v>
      </c>
      <c r="U206" s="6" t="s">
        <v>2323</v>
      </c>
      <c r="V206" s="6" t="s">
        <v>1638</v>
      </c>
      <c r="W206" s="6" t="s">
        <v>35</v>
      </c>
      <c r="X206" s="7">
        <v>45946</v>
      </c>
      <c r="Y206">
        <v>0</v>
      </c>
      <c r="Z206" s="6" t="s">
        <v>1709</v>
      </c>
      <c r="AA206" s="6" t="str">
        <f>IFERROR(VLOOKUP(B206,BD_Clez_Premigracion!C:C,1,FALSE),"No encontrado")</f>
        <v>No encontrado</v>
      </c>
    </row>
    <row r="207" spans="1:27" x14ac:dyDescent="0.25">
      <c r="A207">
        <v>2413</v>
      </c>
      <c r="B207">
        <v>1099735455</v>
      </c>
      <c r="C207">
        <v>1</v>
      </c>
      <c r="D207" s="6" t="s">
        <v>2324</v>
      </c>
      <c r="E207" s="6" t="s">
        <v>2325</v>
      </c>
      <c r="F207">
        <v>3174742401</v>
      </c>
      <c r="G207" s="6" t="s">
        <v>2326</v>
      </c>
      <c r="H207" s="6" t="s">
        <v>1638</v>
      </c>
      <c r="I207" s="6" t="s">
        <v>2327</v>
      </c>
      <c r="J207" s="6" t="s">
        <v>1638</v>
      </c>
      <c r="K207" s="7">
        <v>38244</v>
      </c>
      <c r="L207" s="6" t="s">
        <v>1638</v>
      </c>
      <c r="M207">
        <v>2</v>
      </c>
      <c r="N207">
        <v>5</v>
      </c>
      <c r="O207" s="6" t="s">
        <v>1638</v>
      </c>
      <c r="P207" s="6" t="s">
        <v>1638</v>
      </c>
      <c r="Q207" s="6" t="s">
        <v>1638</v>
      </c>
      <c r="R207" s="6" t="s">
        <v>1663</v>
      </c>
      <c r="S207" s="6" t="s">
        <v>2328</v>
      </c>
      <c r="T207" s="6" t="s">
        <v>1721</v>
      </c>
      <c r="U207" s="6" t="s">
        <v>2329</v>
      </c>
      <c r="V207" s="6" t="s">
        <v>1638</v>
      </c>
      <c r="W207" s="6" t="s">
        <v>35</v>
      </c>
      <c r="X207" s="7">
        <v>45946</v>
      </c>
      <c r="Y207">
        <v>0</v>
      </c>
      <c r="Z207" s="6" t="s">
        <v>1709</v>
      </c>
      <c r="AA207" s="6" t="str">
        <f>IFERROR(VLOOKUP(B207,BD_Clez_Premigracion!C:C,1,FALSE),"No encontrado")</f>
        <v>No encontrado</v>
      </c>
    </row>
    <row r="208" spans="1:27" x14ac:dyDescent="0.25">
      <c r="A208">
        <v>2370</v>
      </c>
      <c r="B208">
        <v>1095840261</v>
      </c>
      <c r="C208">
        <v>1</v>
      </c>
      <c r="D208" s="6" t="s">
        <v>2330</v>
      </c>
      <c r="E208" s="6" t="s">
        <v>2331</v>
      </c>
      <c r="F208">
        <v>3184821288</v>
      </c>
      <c r="G208" s="6" t="s">
        <v>891</v>
      </c>
      <c r="H208" s="6" t="s">
        <v>1638</v>
      </c>
      <c r="I208" s="6" t="s">
        <v>1638</v>
      </c>
      <c r="J208" s="6" t="s">
        <v>1638</v>
      </c>
      <c r="K208" s="7">
        <v>36200</v>
      </c>
      <c r="L208" s="6" t="s">
        <v>1638</v>
      </c>
      <c r="M208">
        <v>2</v>
      </c>
      <c r="N208">
        <v>3</v>
      </c>
      <c r="O208" s="6" t="s">
        <v>1638</v>
      </c>
      <c r="P208" s="6" t="s">
        <v>1638</v>
      </c>
      <c r="Q208" s="6" t="s">
        <v>1638</v>
      </c>
      <c r="R208" s="6" t="s">
        <v>1638</v>
      </c>
      <c r="S208" s="6" t="s">
        <v>1638</v>
      </c>
      <c r="T208" s="6" t="s">
        <v>1638</v>
      </c>
      <c r="U208" s="6" t="s">
        <v>1638</v>
      </c>
      <c r="V208" s="6" t="s">
        <v>1638</v>
      </c>
      <c r="W208" s="6" t="s">
        <v>35</v>
      </c>
      <c r="X208" s="7">
        <v>45942</v>
      </c>
      <c r="Y208">
        <v>0</v>
      </c>
      <c r="Z208" s="6" t="s">
        <v>1638</v>
      </c>
      <c r="AA208" s="6">
        <f>IFERROR(VLOOKUP(B208,BD_Clez_Premigracion!C:C,1,FALSE),"No encontrado")</f>
        <v>1095840261</v>
      </c>
    </row>
    <row r="209" spans="1:27" x14ac:dyDescent="0.25">
      <c r="A209">
        <v>2414</v>
      </c>
      <c r="B209">
        <v>1098750884</v>
      </c>
      <c r="C209">
        <v>1</v>
      </c>
      <c r="D209" s="6" t="s">
        <v>2332</v>
      </c>
      <c r="E209" s="6" t="s">
        <v>2333</v>
      </c>
      <c r="F209">
        <v>3142065133</v>
      </c>
      <c r="G209" s="6" t="s">
        <v>2334</v>
      </c>
      <c r="H209" s="6" t="s">
        <v>1638</v>
      </c>
      <c r="I209" s="6" t="s">
        <v>2335</v>
      </c>
      <c r="J209" s="6" t="s">
        <v>1638</v>
      </c>
      <c r="K209" s="7">
        <v>34361</v>
      </c>
      <c r="L209" s="6" t="s">
        <v>1638</v>
      </c>
      <c r="M209">
        <v>1</v>
      </c>
      <c r="N209">
        <v>5</v>
      </c>
      <c r="O209" s="6" t="s">
        <v>1638</v>
      </c>
      <c r="P209" s="6" t="s">
        <v>1638</v>
      </c>
      <c r="Q209" s="6" t="s">
        <v>1638</v>
      </c>
      <c r="R209" s="6" t="s">
        <v>1815</v>
      </c>
      <c r="S209" s="6" t="s">
        <v>2336</v>
      </c>
      <c r="T209" s="6" t="s">
        <v>1842</v>
      </c>
      <c r="U209" s="6" t="s">
        <v>2337</v>
      </c>
      <c r="V209" s="6" t="s">
        <v>1638</v>
      </c>
      <c r="W209" s="6" t="s">
        <v>35</v>
      </c>
      <c r="X209" s="7">
        <v>45946</v>
      </c>
      <c r="Y209">
        <v>0</v>
      </c>
      <c r="Z209" s="6" t="s">
        <v>2338</v>
      </c>
      <c r="AA209" s="6" t="str">
        <f>IFERROR(VLOOKUP(B209,BD_Clez_Premigracion!C:C,1,FALSE),"No encontrado")</f>
        <v>No encontrado</v>
      </c>
    </row>
    <row r="210" spans="1:27" x14ac:dyDescent="0.25">
      <c r="A210">
        <v>2415</v>
      </c>
      <c r="B210">
        <v>1098799262</v>
      </c>
      <c r="C210">
        <v>1</v>
      </c>
      <c r="D210" s="6" t="s">
        <v>2339</v>
      </c>
      <c r="E210" s="6" t="s">
        <v>2340</v>
      </c>
      <c r="F210">
        <v>3168234247</v>
      </c>
      <c r="G210" s="6" t="s">
        <v>1003</v>
      </c>
      <c r="H210" s="6" t="s">
        <v>1638</v>
      </c>
      <c r="I210" s="6" t="s">
        <v>1638</v>
      </c>
      <c r="J210" s="6" t="s">
        <v>1638</v>
      </c>
      <c r="K210" s="7">
        <v>35619</v>
      </c>
      <c r="L210" s="6" t="s">
        <v>1638</v>
      </c>
      <c r="M210">
        <v>1</v>
      </c>
      <c r="N210">
        <v>2</v>
      </c>
      <c r="O210" s="6" t="s">
        <v>1638</v>
      </c>
      <c r="P210" s="6" t="s">
        <v>1638</v>
      </c>
      <c r="Q210" s="6" t="s">
        <v>1638</v>
      </c>
      <c r="R210" s="6" t="s">
        <v>1638</v>
      </c>
      <c r="S210" s="6" t="s">
        <v>1638</v>
      </c>
      <c r="T210" s="6" t="s">
        <v>1638</v>
      </c>
      <c r="U210" s="6" t="s">
        <v>1638</v>
      </c>
      <c r="V210" s="6" t="s">
        <v>1638</v>
      </c>
      <c r="W210" s="6" t="s">
        <v>35</v>
      </c>
      <c r="X210" s="7">
        <v>45946</v>
      </c>
      <c r="Y210">
        <v>0</v>
      </c>
      <c r="Z210" s="6" t="s">
        <v>1638</v>
      </c>
      <c r="AA210" s="6">
        <f>IFERROR(VLOOKUP(B210,BD_Clez_Premigracion!C:C,1,FALSE),"No encontrado")</f>
        <v>1098799262</v>
      </c>
    </row>
    <row r="211" spans="1:27" x14ac:dyDescent="0.25">
      <c r="A211">
        <v>2408</v>
      </c>
      <c r="B211">
        <v>1004804155</v>
      </c>
      <c r="C211">
        <v>1</v>
      </c>
      <c r="D211" s="6" t="s">
        <v>2341</v>
      </c>
      <c r="E211" s="6" t="s">
        <v>2342</v>
      </c>
      <c r="F211">
        <v>3126350921</v>
      </c>
      <c r="G211" s="6" t="s">
        <v>909</v>
      </c>
      <c r="H211" s="6" t="s">
        <v>1638</v>
      </c>
      <c r="I211" s="6" t="s">
        <v>1638</v>
      </c>
      <c r="J211" s="6" t="s">
        <v>1638</v>
      </c>
      <c r="K211" s="7">
        <v>35981</v>
      </c>
      <c r="L211" s="6" t="s">
        <v>1638</v>
      </c>
      <c r="M211">
        <v>2</v>
      </c>
      <c r="N211">
        <v>4</v>
      </c>
      <c r="O211" s="6" t="s">
        <v>1638</v>
      </c>
      <c r="P211" s="6" t="s">
        <v>1638</v>
      </c>
      <c r="Q211" s="6" t="s">
        <v>1638</v>
      </c>
      <c r="R211" s="6" t="s">
        <v>1638</v>
      </c>
      <c r="S211" s="6" t="s">
        <v>1638</v>
      </c>
      <c r="T211" s="6" t="s">
        <v>1638</v>
      </c>
      <c r="U211" s="6" t="s">
        <v>1638</v>
      </c>
      <c r="V211" s="6" t="s">
        <v>1638</v>
      </c>
      <c r="W211" s="6" t="s">
        <v>35</v>
      </c>
      <c r="X211" s="7">
        <v>45945</v>
      </c>
      <c r="Y211">
        <v>0</v>
      </c>
      <c r="Z211" s="6" t="s">
        <v>1638</v>
      </c>
      <c r="AA211" s="6">
        <f>IFERROR(VLOOKUP(B211,BD_Clez_Premigracion!C:C,1,FALSE),"No encontrado")</f>
        <v>1004804155</v>
      </c>
    </row>
    <row r="212" spans="1:27" x14ac:dyDescent="0.25">
      <c r="A212">
        <v>2389</v>
      </c>
      <c r="B212">
        <v>37864385</v>
      </c>
      <c r="C212">
        <v>1</v>
      </c>
      <c r="D212" s="6" t="s">
        <v>2343</v>
      </c>
      <c r="E212" s="6" t="s">
        <v>2064</v>
      </c>
      <c r="F212">
        <v>3208540674</v>
      </c>
      <c r="G212" s="6" t="s">
        <v>2344</v>
      </c>
      <c r="H212" s="6" t="s">
        <v>1638</v>
      </c>
      <c r="I212" s="6" t="s">
        <v>2345</v>
      </c>
      <c r="J212" s="6" t="s">
        <v>1638</v>
      </c>
      <c r="K212" s="7">
        <v>29911</v>
      </c>
      <c r="L212" s="6" t="s">
        <v>1638</v>
      </c>
      <c r="M212">
        <v>2</v>
      </c>
      <c r="N212">
        <v>8</v>
      </c>
      <c r="O212" s="6" t="s">
        <v>1638</v>
      </c>
      <c r="P212" s="6" t="s">
        <v>1638</v>
      </c>
      <c r="Q212" s="6" t="s">
        <v>1638</v>
      </c>
      <c r="R212" s="6" t="s">
        <v>1639</v>
      </c>
      <c r="S212" s="6" t="s">
        <v>2346</v>
      </c>
      <c r="T212" s="6" t="s">
        <v>2185</v>
      </c>
      <c r="U212" s="6" t="s">
        <v>2347</v>
      </c>
      <c r="V212" s="6" t="s">
        <v>1638</v>
      </c>
      <c r="W212" s="6" t="s">
        <v>35</v>
      </c>
      <c r="X212" s="7">
        <v>45944</v>
      </c>
      <c r="Y212">
        <v>0</v>
      </c>
      <c r="Z212" s="6" t="s">
        <v>2348</v>
      </c>
      <c r="AA212" s="6" t="str">
        <f>IFERROR(VLOOKUP(B212,BD_Clez_Premigracion!C:C,1,FALSE),"No encontrado")</f>
        <v>No encontrado</v>
      </c>
    </row>
    <row r="213" spans="1:27" x14ac:dyDescent="0.25">
      <c r="A213">
        <v>2418</v>
      </c>
      <c r="B213">
        <v>1096062473</v>
      </c>
      <c r="C213">
        <v>1</v>
      </c>
      <c r="D213" s="6" t="s">
        <v>2349</v>
      </c>
      <c r="E213" s="6" t="s">
        <v>2350</v>
      </c>
      <c r="F213">
        <v>3163091712</v>
      </c>
      <c r="G213" s="6" t="s">
        <v>2351</v>
      </c>
      <c r="H213" s="6" t="s">
        <v>1638</v>
      </c>
      <c r="I213" s="6" t="s">
        <v>2352</v>
      </c>
      <c r="J213" s="6" t="s">
        <v>1638</v>
      </c>
      <c r="K213" s="7">
        <v>38010</v>
      </c>
      <c r="L213" s="6" t="s">
        <v>1638</v>
      </c>
      <c r="M213">
        <v>1</v>
      </c>
      <c r="N213">
        <v>2</v>
      </c>
      <c r="O213" s="6" t="s">
        <v>1638</v>
      </c>
      <c r="P213" s="6" t="s">
        <v>1638</v>
      </c>
      <c r="Q213" s="6" t="s">
        <v>1638</v>
      </c>
      <c r="R213" s="6" t="s">
        <v>1848</v>
      </c>
      <c r="S213" s="6" t="s">
        <v>2353</v>
      </c>
      <c r="T213" s="6" t="s">
        <v>1721</v>
      </c>
      <c r="U213" s="6" t="s">
        <v>2353</v>
      </c>
      <c r="V213" s="6" t="s">
        <v>1638</v>
      </c>
      <c r="W213" s="6" t="s">
        <v>35</v>
      </c>
      <c r="X213" s="7">
        <v>45946</v>
      </c>
      <c r="Y213">
        <v>0</v>
      </c>
      <c r="Z213" s="6" t="s">
        <v>1709</v>
      </c>
      <c r="AA213" s="6">
        <f>IFERROR(VLOOKUP(B213,BD_Clez_Premigracion!C:C,1,FALSE),"No encontrado")</f>
        <v>1096062473</v>
      </c>
    </row>
    <row r="214" spans="1:27" x14ac:dyDescent="0.25">
      <c r="A214">
        <v>2419</v>
      </c>
      <c r="B214">
        <v>1127337039</v>
      </c>
      <c r="C214">
        <v>1</v>
      </c>
      <c r="D214" s="6" t="s">
        <v>2354</v>
      </c>
      <c r="E214" s="6" t="s">
        <v>2355</v>
      </c>
      <c r="F214">
        <v>3042907313</v>
      </c>
      <c r="G214" s="6" t="s">
        <v>192</v>
      </c>
      <c r="H214" s="6" t="s">
        <v>1638</v>
      </c>
      <c r="I214" s="6" t="s">
        <v>1638</v>
      </c>
      <c r="J214" s="6" t="s">
        <v>1638</v>
      </c>
      <c r="K214" s="7">
        <v>32999</v>
      </c>
      <c r="L214" s="6" t="s">
        <v>1638</v>
      </c>
      <c r="M214">
        <v>1</v>
      </c>
      <c r="N214">
        <v>5</v>
      </c>
      <c r="O214" s="6" t="s">
        <v>1638</v>
      </c>
      <c r="P214" s="6" t="s">
        <v>1638</v>
      </c>
      <c r="Q214" s="6" t="s">
        <v>1638</v>
      </c>
      <c r="R214" s="6" t="s">
        <v>1638</v>
      </c>
      <c r="S214" s="6" t="s">
        <v>1638</v>
      </c>
      <c r="T214" s="6" t="s">
        <v>1638</v>
      </c>
      <c r="U214" s="6" t="s">
        <v>1638</v>
      </c>
      <c r="V214" s="6" t="s">
        <v>1638</v>
      </c>
      <c r="W214" s="6" t="s">
        <v>35</v>
      </c>
      <c r="X214" s="7">
        <v>45946</v>
      </c>
      <c r="Y214">
        <v>0</v>
      </c>
      <c r="Z214" s="6" t="s">
        <v>1638</v>
      </c>
      <c r="AA214" s="6">
        <f>IFERROR(VLOOKUP(B214,BD_Clez_Premigracion!C:C,1,FALSE),"No encontrado")</f>
        <v>1127337039</v>
      </c>
    </row>
    <row r="215" spans="1:27" x14ac:dyDescent="0.25">
      <c r="A215">
        <v>2420</v>
      </c>
      <c r="B215">
        <v>1095950891</v>
      </c>
      <c r="C215">
        <v>1</v>
      </c>
      <c r="D215" s="6" t="s">
        <v>2356</v>
      </c>
      <c r="E215" s="6" t="s">
        <v>2357</v>
      </c>
      <c r="F215">
        <v>3228867945</v>
      </c>
      <c r="G215" s="6" t="s">
        <v>2358</v>
      </c>
      <c r="H215" s="6" t="s">
        <v>1638</v>
      </c>
      <c r="I215" s="6" t="s">
        <v>1638</v>
      </c>
      <c r="J215" s="6" t="s">
        <v>1638</v>
      </c>
      <c r="K215" s="7">
        <v>35794</v>
      </c>
      <c r="L215" s="6" t="s">
        <v>1638</v>
      </c>
      <c r="M215">
        <v>1</v>
      </c>
      <c r="N215">
        <v>6</v>
      </c>
      <c r="O215" s="6" t="s">
        <v>1638</v>
      </c>
      <c r="P215" s="6" t="s">
        <v>1638</v>
      </c>
      <c r="Q215" s="6" t="s">
        <v>1638</v>
      </c>
      <c r="R215" s="6" t="s">
        <v>1638</v>
      </c>
      <c r="S215" s="6" t="s">
        <v>1638</v>
      </c>
      <c r="T215" s="6" t="s">
        <v>1638</v>
      </c>
      <c r="U215" s="6" t="s">
        <v>1638</v>
      </c>
      <c r="V215" s="6" t="s">
        <v>1638</v>
      </c>
      <c r="W215" s="6" t="s">
        <v>35</v>
      </c>
      <c r="X215" s="7">
        <v>45946</v>
      </c>
      <c r="Y215">
        <v>0</v>
      </c>
      <c r="Z215" s="6" t="s">
        <v>1638</v>
      </c>
      <c r="AA215" s="6" t="str">
        <f>IFERROR(VLOOKUP(B215,BD_Clez_Premigracion!C:C,1,FALSE),"No encontrado")</f>
        <v>No encontrado</v>
      </c>
    </row>
    <row r="216" spans="1:27" x14ac:dyDescent="0.25">
      <c r="A216">
        <v>2421</v>
      </c>
      <c r="B216">
        <v>1090439893</v>
      </c>
      <c r="C216">
        <v>1</v>
      </c>
      <c r="D216" s="6" t="s">
        <v>2359</v>
      </c>
      <c r="E216" s="6" t="s">
        <v>2360</v>
      </c>
      <c r="F216">
        <v>3046314544</v>
      </c>
      <c r="G216" s="6" t="s">
        <v>2361</v>
      </c>
      <c r="H216" s="6" t="s">
        <v>1638</v>
      </c>
      <c r="I216" s="6" t="s">
        <v>2362</v>
      </c>
      <c r="J216" s="6" t="s">
        <v>1638</v>
      </c>
      <c r="K216" s="7">
        <v>33494</v>
      </c>
      <c r="L216" s="6" t="s">
        <v>1638</v>
      </c>
      <c r="M216">
        <v>2</v>
      </c>
      <c r="N216">
        <v>4</v>
      </c>
      <c r="O216" s="6" t="s">
        <v>1638</v>
      </c>
      <c r="P216" s="6" t="s">
        <v>1638</v>
      </c>
      <c r="Q216" s="6" t="s">
        <v>1638</v>
      </c>
      <c r="R216" s="6" t="s">
        <v>1663</v>
      </c>
      <c r="S216" s="6" t="s">
        <v>2363</v>
      </c>
      <c r="T216" s="6" t="s">
        <v>1721</v>
      </c>
      <c r="U216" s="6" t="s">
        <v>2364</v>
      </c>
      <c r="V216" s="6" t="s">
        <v>1638</v>
      </c>
      <c r="W216" s="6" t="s">
        <v>35</v>
      </c>
      <c r="X216" s="7">
        <v>45946</v>
      </c>
      <c r="Y216">
        <v>0</v>
      </c>
      <c r="Z216" s="6" t="s">
        <v>1709</v>
      </c>
      <c r="AA216" s="6" t="str">
        <f>IFERROR(VLOOKUP(B216,BD_Clez_Premigracion!C:C,1,FALSE),"No encontrado")</f>
        <v>No encontrado</v>
      </c>
    </row>
    <row r="217" spans="1:27" x14ac:dyDescent="0.25">
      <c r="A217">
        <v>2422</v>
      </c>
      <c r="B217">
        <v>1124021170</v>
      </c>
      <c r="C217">
        <v>1</v>
      </c>
      <c r="D217" s="6" t="s">
        <v>2365</v>
      </c>
      <c r="E217" s="6" t="s">
        <v>2366</v>
      </c>
      <c r="F217">
        <v>3123269073</v>
      </c>
      <c r="G217" s="6" t="s">
        <v>2367</v>
      </c>
      <c r="H217" s="6" t="s">
        <v>1638</v>
      </c>
      <c r="I217" s="6" t="s">
        <v>1638</v>
      </c>
      <c r="J217" s="6" t="s">
        <v>1638</v>
      </c>
      <c r="K217" s="7">
        <v>38681</v>
      </c>
      <c r="L217" s="6" t="s">
        <v>1638</v>
      </c>
      <c r="M217">
        <v>1</v>
      </c>
      <c r="N217">
        <v>1</v>
      </c>
      <c r="O217" s="6" t="s">
        <v>1638</v>
      </c>
      <c r="P217" s="6" t="s">
        <v>1638</v>
      </c>
      <c r="Q217" s="6" t="s">
        <v>1638</v>
      </c>
      <c r="R217" s="6" t="s">
        <v>1638</v>
      </c>
      <c r="S217" s="6" t="s">
        <v>1638</v>
      </c>
      <c r="T217" s="6" t="s">
        <v>1638</v>
      </c>
      <c r="U217" s="6" t="s">
        <v>1638</v>
      </c>
      <c r="V217" s="6" t="s">
        <v>1638</v>
      </c>
      <c r="W217" s="6" t="s">
        <v>35</v>
      </c>
      <c r="X217" s="7">
        <v>45946</v>
      </c>
      <c r="Y217">
        <v>0</v>
      </c>
      <c r="Z217" s="6" t="s">
        <v>1638</v>
      </c>
      <c r="AA217" s="6">
        <f>IFERROR(VLOOKUP(B217,BD_Clez_Premigracion!C:C,1,FALSE),"No encontrado")</f>
        <v>1124021170</v>
      </c>
    </row>
    <row r="218" spans="1:27" x14ac:dyDescent="0.25">
      <c r="A218">
        <v>2423</v>
      </c>
      <c r="B218">
        <v>63496937</v>
      </c>
      <c r="C218">
        <v>1</v>
      </c>
      <c r="D218" s="6" t="s">
        <v>2368</v>
      </c>
      <c r="E218" s="6" t="s">
        <v>2369</v>
      </c>
      <c r="F218">
        <v>3229428955</v>
      </c>
      <c r="G218" s="6" t="s">
        <v>2370</v>
      </c>
      <c r="H218" s="6" t="s">
        <v>1638</v>
      </c>
      <c r="I218" s="6" t="s">
        <v>1638</v>
      </c>
      <c r="J218" s="6" t="s">
        <v>1638</v>
      </c>
      <c r="K218" s="7">
        <v>27208</v>
      </c>
      <c r="L218" s="6" t="s">
        <v>1638</v>
      </c>
      <c r="M218">
        <v>2</v>
      </c>
      <c r="N218">
        <v>2</v>
      </c>
      <c r="O218" s="6" t="s">
        <v>1638</v>
      </c>
      <c r="P218" s="6" t="s">
        <v>1638</v>
      </c>
      <c r="Q218" s="6" t="s">
        <v>1638</v>
      </c>
      <c r="R218" s="6" t="s">
        <v>1638</v>
      </c>
      <c r="S218" s="6" t="s">
        <v>1638</v>
      </c>
      <c r="T218" s="6" t="s">
        <v>1638</v>
      </c>
      <c r="U218" s="6" t="s">
        <v>1638</v>
      </c>
      <c r="V218" s="6" t="s">
        <v>1638</v>
      </c>
      <c r="W218" s="6" t="s">
        <v>1640</v>
      </c>
      <c r="X218" s="7">
        <v>45946</v>
      </c>
      <c r="Y218">
        <v>0</v>
      </c>
      <c r="Z218" s="6" t="s">
        <v>1638</v>
      </c>
      <c r="AA218" s="6" t="str">
        <f>IFERROR(VLOOKUP(B218,BD_Clez_Premigracion!C:C,1,FALSE),"No encontrado")</f>
        <v>No encontrado</v>
      </c>
    </row>
    <row r="219" spans="1:27" x14ac:dyDescent="0.25">
      <c r="A219">
        <v>2425</v>
      </c>
      <c r="B219">
        <v>1383673</v>
      </c>
      <c r="C219">
        <v>6</v>
      </c>
      <c r="D219" s="6" t="s">
        <v>2371</v>
      </c>
      <c r="E219" s="6" t="s">
        <v>2372</v>
      </c>
      <c r="F219">
        <v>3114308386</v>
      </c>
      <c r="G219" s="6" t="s">
        <v>2373</v>
      </c>
      <c r="H219" s="6" t="s">
        <v>1638</v>
      </c>
      <c r="I219" s="6" t="s">
        <v>1638</v>
      </c>
      <c r="J219" s="6" t="s">
        <v>1638</v>
      </c>
      <c r="K219" s="7">
        <v>34794</v>
      </c>
      <c r="L219" s="6" t="s">
        <v>1638</v>
      </c>
      <c r="M219">
        <v>1</v>
      </c>
      <c r="N219">
        <v>8</v>
      </c>
      <c r="O219" s="6" t="s">
        <v>1638</v>
      </c>
      <c r="P219" s="6" t="s">
        <v>1638</v>
      </c>
      <c r="Q219" s="6" t="s">
        <v>1638</v>
      </c>
      <c r="R219" s="6" t="s">
        <v>1638</v>
      </c>
      <c r="S219" s="6" t="s">
        <v>1638</v>
      </c>
      <c r="T219" s="6" t="s">
        <v>1638</v>
      </c>
      <c r="U219" s="6" t="s">
        <v>1638</v>
      </c>
      <c r="V219" s="6" t="s">
        <v>1638</v>
      </c>
      <c r="W219" s="6" t="s">
        <v>1640</v>
      </c>
      <c r="X219" s="7">
        <v>45947</v>
      </c>
      <c r="Y219">
        <v>0</v>
      </c>
      <c r="Z219" s="6" t="s">
        <v>1638</v>
      </c>
      <c r="AA219" s="6" t="str">
        <f>IFERROR(VLOOKUP(B219,BD_Clez_Premigracion!C:C,1,FALSE),"No encontrado")</f>
        <v>No encontrado</v>
      </c>
    </row>
    <row r="220" spans="1:27" x14ac:dyDescent="0.25">
      <c r="A220">
        <v>2426</v>
      </c>
      <c r="B220">
        <v>1098754580</v>
      </c>
      <c r="C220">
        <v>1</v>
      </c>
      <c r="D220" s="6" t="s">
        <v>2374</v>
      </c>
      <c r="E220" s="6" t="s">
        <v>2375</v>
      </c>
      <c r="F220">
        <v>3225976125</v>
      </c>
      <c r="G220" s="6" t="s">
        <v>1391</v>
      </c>
      <c r="H220" s="6" t="s">
        <v>1638</v>
      </c>
      <c r="I220" s="6" t="s">
        <v>1638</v>
      </c>
      <c r="J220" s="6" t="s">
        <v>1638</v>
      </c>
      <c r="K220" s="7">
        <v>34467</v>
      </c>
      <c r="L220" s="6" t="s">
        <v>1638</v>
      </c>
      <c r="M220">
        <v>1</v>
      </c>
      <c r="N220">
        <v>8</v>
      </c>
      <c r="O220" s="6" t="s">
        <v>1638</v>
      </c>
      <c r="P220" s="6" t="s">
        <v>1638</v>
      </c>
      <c r="Q220" s="6" t="s">
        <v>1638</v>
      </c>
      <c r="R220" s="6" t="s">
        <v>1638</v>
      </c>
      <c r="S220" s="6" t="s">
        <v>1638</v>
      </c>
      <c r="T220" s="6" t="s">
        <v>1638</v>
      </c>
      <c r="U220" s="6" t="s">
        <v>1638</v>
      </c>
      <c r="V220" s="6" t="s">
        <v>1638</v>
      </c>
      <c r="W220" s="6" t="s">
        <v>35</v>
      </c>
      <c r="X220" s="7">
        <v>45947</v>
      </c>
      <c r="Y220">
        <v>0</v>
      </c>
      <c r="Z220" s="6" t="s">
        <v>1638</v>
      </c>
      <c r="AA220" s="6">
        <f>IFERROR(VLOOKUP(B220,BD_Clez_Premigracion!C:C,1,FALSE),"No encontrado")</f>
        <v>1098754580</v>
      </c>
    </row>
    <row r="221" spans="1:27" x14ac:dyDescent="0.25">
      <c r="A221">
        <v>2428</v>
      </c>
      <c r="B221">
        <v>6865856</v>
      </c>
      <c r="C221">
        <v>6</v>
      </c>
      <c r="D221" s="6" t="s">
        <v>2376</v>
      </c>
      <c r="E221" s="6" t="s">
        <v>2377</v>
      </c>
      <c r="F221">
        <v>3125269236</v>
      </c>
      <c r="G221" s="6" t="s">
        <v>2378</v>
      </c>
      <c r="H221" s="6" t="s">
        <v>1638</v>
      </c>
      <c r="I221" s="6" t="s">
        <v>1638</v>
      </c>
      <c r="J221" s="6" t="s">
        <v>1638</v>
      </c>
      <c r="K221" s="7">
        <v>34204</v>
      </c>
      <c r="L221" s="6" t="s">
        <v>1638</v>
      </c>
      <c r="M221">
        <v>1</v>
      </c>
      <c r="N221">
        <v>4</v>
      </c>
      <c r="O221" s="6" t="s">
        <v>1638</v>
      </c>
      <c r="P221" s="6" t="s">
        <v>1638</v>
      </c>
      <c r="Q221" s="6" t="s">
        <v>1638</v>
      </c>
      <c r="R221" s="6" t="s">
        <v>1638</v>
      </c>
      <c r="S221" s="6" t="s">
        <v>1638</v>
      </c>
      <c r="T221" s="6" t="s">
        <v>1638</v>
      </c>
      <c r="U221" s="6" t="s">
        <v>1638</v>
      </c>
      <c r="V221" s="6" t="s">
        <v>1638</v>
      </c>
      <c r="W221" s="6" t="s">
        <v>35</v>
      </c>
      <c r="X221" s="7">
        <v>45947</v>
      </c>
      <c r="Y221">
        <v>0</v>
      </c>
      <c r="Z221" s="6" t="s">
        <v>1638</v>
      </c>
      <c r="AA221" s="6">
        <f>IFERROR(VLOOKUP(B221,BD_Clez_Premigracion!C:C,1,FALSE),"No encontrado")</f>
        <v>6865856</v>
      </c>
    </row>
    <row r="222" spans="1:27" x14ac:dyDescent="0.25">
      <c r="A222">
        <v>2431</v>
      </c>
      <c r="B222">
        <v>1094272458</v>
      </c>
      <c r="C222">
        <v>1</v>
      </c>
      <c r="D222" s="6" t="s">
        <v>2379</v>
      </c>
      <c r="E222" s="6" t="s">
        <v>2380</v>
      </c>
      <c r="F222">
        <v>3104550094</v>
      </c>
      <c r="G222" s="6" t="s">
        <v>2381</v>
      </c>
      <c r="H222" s="6" t="s">
        <v>1638</v>
      </c>
      <c r="I222" s="6" t="s">
        <v>1638</v>
      </c>
      <c r="J222" s="6" t="s">
        <v>1638</v>
      </c>
      <c r="K222" s="7">
        <v>34283</v>
      </c>
      <c r="L222" s="6" t="s">
        <v>1638</v>
      </c>
      <c r="M222">
        <v>2</v>
      </c>
      <c r="N222">
        <v>5</v>
      </c>
      <c r="O222" s="6" t="s">
        <v>1638</v>
      </c>
      <c r="P222" s="6" t="s">
        <v>1638</v>
      </c>
      <c r="Q222" s="6" t="s">
        <v>1638</v>
      </c>
      <c r="R222" s="6" t="s">
        <v>1638</v>
      </c>
      <c r="S222" s="6" t="s">
        <v>1638</v>
      </c>
      <c r="T222" s="6" t="s">
        <v>1638</v>
      </c>
      <c r="U222" s="6" t="s">
        <v>1638</v>
      </c>
      <c r="V222" s="6" t="s">
        <v>1638</v>
      </c>
      <c r="W222" s="6" t="s">
        <v>1640</v>
      </c>
      <c r="X222" s="7">
        <v>45948</v>
      </c>
      <c r="Y222">
        <v>0</v>
      </c>
      <c r="Z222" s="6" t="s">
        <v>1638</v>
      </c>
      <c r="AA222" s="6" t="str">
        <f>IFERROR(VLOOKUP(B222,BD_Clez_Premigracion!C:C,1,FALSE),"No encontrado")</f>
        <v>No encontrado</v>
      </c>
    </row>
    <row r="223" spans="1:27" x14ac:dyDescent="0.25">
      <c r="A223">
        <v>2434</v>
      </c>
      <c r="B223">
        <v>1193213102</v>
      </c>
      <c r="C223">
        <v>1</v>
      </c>
      <c r="D223" s="6" t="s">
        <v>2382</v>
      </c>
      <c r="E223" s="6" t="s">
        <v>2383</v>
      </c>
      <c r="F223">
        <v>3184125457</v>
      </c>
      <c r="G223" s="6" t="s">
        <v>2384</v>
      </c>
      <c r="H223" s="6" t="s">
        <v>1638</v>
      </c>
      <c r="I223" s="6" t="s">
        <v>2385</v>
      </c>
      <c r="J223" s="6" t="s">
        <v>1638</v>
      </c>
      <c r="K223" s="7">
        <v>36793</v>
      </c>
      <c r="L223" s="6" t="s">
        <v>1638</v>
      </c>
      <c r="M223">
        <v>1</v>
      </c>
      <c r="N223">
        <v>10</v>
      </c>
      <c r="O223" s="6" t="s">
        <v>1638</v>
      </c>
      <c r="P223" s="6" t="s">
        <v>1638</v>
      </c>
      <c r="Q223" s="6" t="s">
        <v>1638</v>
      </c>
      <c r="R223" s="6" t="s">
        <v>1639</v>
      </c>
      <c r="S223" s="6" t="s">
        <v>2386</v>
      </c>
      <c r="T223" s="6" t="s">
        <v>1721</v>
      </c>
      <c r="U223" s="6" t="s">
        <v>2387</v>
      </c>
      <c r="V223" s="6" t="s">
        <v>1638</v>
      </c>
      <c r="W223" s="6" t="s">
        <v>35</v>
      </c>
      <c r="X223" s="7">
        <v>45948</v>
      </c>
      <c r="Y223">
        <v>0</v>
      </c>
      <c r="Z223" s="6" t="s">
        <v>1709</v>
      </c>
      <c r="AA223" s="6" t="str">
        <f>IFERROR(VLOOKUP(B223,BD_Clez_Premigracion!C:C,1,FALSE),"No encontrado")</f>
        <v>No encontrado</v>
      </c>
    </row>
    <row r="224" spans="1:27" x14ac:dyDescent="0.25">
      <c r="A224">
        <v>2433</v>
      </c>
      <c r="B224">
        <v>6454204</v>
      </c>
      <c r="C224">
        <v>6</v>
      </c>
      <c r="D224" s="6" t="s">
        <v>2388</v>
      </c>
      <c r="E224" s="6" t="s">
        <v>2389</v>
      </c>
      <c r="F224">
        <v>3143069558</v>
      </c>
      <c r="G224" s="6" t="s">
        <v>2390</v>
      </c>
      <c r="H224" s="6" t="s">
        <v>1638</v>
      </c>
      <c r="I224" s="6" t="s">
        <v>2391</v>
      </c>
      <c r="J224" s="6" t="s">
        <v>1638</v>
      </c>
      <c r="K224" s="7">
        <v>38967</v>
      </c>
      <c r="L224" s="6" t="s">
        <v>1638</v>
      </c>
      <c r="M224">
        <v>1</v>
      </c>
      <c r="N224">
        <v>3</v>
      </c>
      <c r="O224" s="6" t="s">
        <v>1638</v>
      </c>
      <c r="P224" s="6" t="s">
        <v>1638</v>
      </c>
      <c r="Q224" s="6" t="s">
        <v>1638</v>
      </c>
      <c r="R224" s="6" t="s">
        <v>1663</v>
      </c>
      <c r="S224" s="6" t="s">
        <v>2392</v>
      </c>
      <c r="T224" s="6" t="s">
        <v>1721</v>
      </c>
      <c r="U224" s="6" t="s">
        <v>2393</v>
      </c>
      <c r="V224" s="6" t="s">
        <v>1638</v>
      </c>
      <c r="W224" s="6" t="s">
        <v>35</v>
      </c>
      <c r="X224" s="7">
        <v>45948</v>
      </c>
      <c r="Y224">
        <v>0</v>
      </c>
      <c r="Z224" s="6" t="s">
        <v>1709</v>
      </c>
      <c r="AA224" s="6" t="str">
        <f>IFERROR(VLOOKUP(B224,BD_Clez_Premigracion!C:C,1,FALSE),"No encontrado")</f>
        <v>No encontrado</v>
      </c>
    </row>
    <row r="225" spans="1:27" x14ac:dyDescent="0.25">
      <c r="A225">
        <v>2438</v>
      </c>
      <c r="B225">
        <v>13749799</v>
      </c>
      <c r="C225">
        <v>1</v>
      </c>
      <c r="D225" s="6" t="s">
        <v>2394</v>
      </c>
      <c r="E225" s="6" t="s">
        <v>2395</v>
      </c>
      <c r="F225">
        <v>3016350414</v>
      </c>
      <c r="G225" s="6" t="s">
        <v>807</v>
      </c>
      <c r="H225" s="6" t="s">
        <v>1638</v>
      </c>
      <c r="I225" s="6" t="s">
        <v>1638</v>
      </c>
      <c r="J225" s="6" t="s">
        <v>1638</v>
      </c>
      <c r="K225" s="7">
        <v>29685</v>
      </c>
      <c r="L225" s="6" t="s">
        <v>1638</v>
      </c>
      <c r="M225">
        <v>1</v>
      </c>
      <c r="N225">
        <v>10</v>
      </c>
      <c r="O225" s="6" t="s">
        <v>1638</v>
      </c>
      <c r="P225" s="6" t="s">
        <v>1638</v>
      </c>
      <c r="Q225" s="6" t="s">
        <v>1638</v>
      </c>
      <c r="R225" s="6" t="s">
        <v>1638</v>
      </c>
      <c r="S225" s="6" t="s">
        <v>1638</v>
      </c>
      <c r="T225" s="6" t="s">
        <v>1638</v>
      </c>
      <c r="U225" s="6" t="s">
        <v>1638</v>
      </c>
      <c r="V225" s="6" t="s">
        <v>1638</v>
      </c>
      <c r="W225" s="6" t="s">
        <v>35</v>
      </c>
      <c r="X225" s="7">
        <v>45950</v>
      </c>
      <c r="Y225">
        <v>0</v>
      </c>
      <c r="Z225" s="6" t="s">
        <v>1638</v>
      </c>
      <c r="AA225" s="6">
        <f>IFERROR(VLOOKUP(B225,BD_Clez_Premigracion!C:C,1,FALSE),"No encontrado")</f>
        <v>13749799</v>
      </c>
    </row>
  </sheetData>
  <phoneticPr fontId="2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54BDF-0065-42E0-9172-93D8F255A13F}">
  <dimension ref="A1:AA79"/>
  <sheetViews>
    <sheetView tabSelected="1" topLeftCell="Q1" workbookViewId="0">
      <selection activeCell="AA79" sqref="AA2:AA79"/>
    </sheetView>
  </sheetViews>
  <sheetFormatPr baseColWidth="10" defaultRowHeight="15" x14ac:dyDescent="0.25"/>
  <cols>
    <col min="1" max="1" width="11.85546875" bestFit="1" customWidth="1"/>
    <col min="2" max="2" width="20.85546875" bestFit="1" customWidth="1"/>
    <col min="3" max="3" width="19.5703125" bestFit="1" customWidth="1"/>
    <col min="4" max="4" width="18.42578125" bestFit="1" customWidth="1"/>
    <col min="5" max="5" width="22" bestFit="1" customWidth="1"/>
    <col min="6" max="6" width="16.7109375" bestFit="1" customWidth="1"/>
    <col min="7" max="7" width="40.42578125" bestFit="1" customWidth="1"/>
    <col min="8" max="8" width="15.28515625" bestFit="1" customWidth="1"/>
    <col min="9" max="9" width="55" bestFit="1" customWidth="1"/>
    <col min="10" max="10" width="18.42578125" bestFit="1" customWidth="1"/>
    <col min="11" max="11" width="19" bestFit="1" customWidth="1"/>
    <col min="12" max="12" width="14.140625" bestFit="1" customWidth="1"/>
    <col min="13" max="13" width="11.7109375" bestFit="1" customWidth="1"/>
    <col min="14" max="14" width="9.5703125" bestFit="1" customWidth="1"/>
    <col min="15" max="15" width="22.28515625" bestFit="1" customWidth="1"/>
    <col min="16" max="16" width="15.85546875" bestFit="1" customWidth="1"/>
    <col min="17" max="17" width="13.7109375" bestFit="1" customWidth="1"/>
    <col min="18" max="18" width="8.42578125" bestFit="1" customWidth="1"/>
    <col min="19" max="19" width="29.140625" bestFit="1" customWidth="1"/>
    <col min="20" max="20" width="13.42578125" bestFit="1" customWidth="1"/>
    <col min="21" max="21" width="18.5703125" bestFit="1" customWidth="1"/>
    <col min="22" max="22" width="11.85546875" bestFit="1" customWidth="1"/>
    <col min="23" max="23" width="16.28515625" bestFit="1" customWidth="1"/>
    <col min="24" max="24" width="17" bestFit="1" customWidth="1"/>
    <col min="25" max="25" width="20.140625" bestFit="1" customWidth="1"/>
    <col min="26" max="26" width="58.5703125" bestFit="1" customWidth="1"/>
    <col min="27" max="27" width="8.85546875" bestFit="1" customWidth="1"/>
  </cols>
  <sheetData>
    <row r="1" spans="1:27" x14ac:dyDescent="0.25">
      <c r="A1" t="s">
        <v>1610</v>
      </c>
      <c r="B1" t="s">
        <v>1611</v>
      </c>
      <c r="C1" t="s">
        <v>1612</v>
      </c>
      <c r="D1" t="s">
        <v>1613</v>
      </c>
      <c r="E1" t="s">
        <v>1614</v>
      </c>
      <c r="F1" t="s">
        <v>1615</v>
      </c>
      <c r="G1" t="s">
        <v>1616</v>
      </c>
      <c r="H1" t="s">
        <v>1617</v>
      </c>
      <c r="I1" t="s">
        <v>1618</v>
      </c>
      <c r="J1" t="s">
        <v>1619</v>
      </c>
      <c r="K1" t="s">
        <v>1620</v>
      </c>
      <c r="L1" t="s">
        <v>1621</v>
      </c>
      <c r="M1" t="s">
        <v>1622</v>
      </c>
      <c r="N1" t="s">
        <v>1623</v>
      </c>
      <c r="O1" t="s">
        <v>1624</v>
      </c>
      <c r="P1" t="s">
        <v>1625</v>
      </c>
      <c r="Q1" t="s">
        <v>1626</v>
      </c>
      <c r="R1" t="s">
        <v>1627</v>
      </c>
      <c r="S1" t="s">
        <v>1628</v>
      </c>
      <c r="T1" t="s">
        <v>1629</v>
      </c>
      <c r="U1" t="s">
        <v>1630</v>
      </c>
      <c r="V1" t="s">
        <v>1631</v>
      </c>
      <c r="W1" t="s">
        <v>1632</v>
      </c>
      <c r="X1" t="s">
        <v>1633</v>
      </c>
      <c r="Y1" t="s">
        <v>1634</v>
      </c>
      <c r="Z1" t="s">
        <v>1635</v>
      </c>
      <c r="AA1" t="s">
        <v>2397</v>
      </c>
    </row>
    <row r="2" spans="1:27" x14ac:dyDescent="0.25">
      <c r="A2">
        <v>2169</v>
      </c>
      <c r="B2">
        <v>1098608981</v>
      </c>
      <c r="C2">
        <v>1</v>
      </c>
      <c r="D2" s="6" t="s">
        <v>1690</v>
      </c>
      <c r="E2" s="6" t="s">
        <v>1691</v>
      </c>
      <c r="F2">
        <v>3213472473</v>
      </c>
      <c r="G2" s="6" t="s">
        <v>1692</v>
      </c>
      <c r="H2" s="6" t="s">
        <v>1638</v>
      </c>
      <c r="I2" s="6" t="s">
        <v>1638</v>
      </c>
      <c r="J2" s="6" t="s">
        <v>1639</v>
      </c>
      <c r="K2" s="7">
        <v>38034</v>
      </c>
      <c r="L2" s="6" t="s">
        <v>1638</v>
      </c>
      <c r="M2">
        <v>1</v>
      </c>
      <c r="N2">
        <v>2</v>
      </c>
      <c r="O2" s="6" t="s">
        <v>1638</v>
      </c>
      <c r="P2" s="6" t="s">
        <v>1638</v>
      </c>
      <c r="Q2" s="6" t="s">
        <v>1638</v>
      </c>
      <c r="R2" s="6" t="s">
        <v>1638</v>
      </c>
      <c r="S2" s="6" t="s">
        <v>1638</v>
      </c>
      <c r="T2" s="6" t="s">
        <v>1638</v>
      </c>
      <c r="U2" s="6" t="s">
        <v>1638</v>
      </c>
      <c r="V2" s="6" t="s">
        <v>1638</v>
      </c>
      <c r="W2" s="6" t="s">
        <v>1640</v>
      </c>
      <c r="X2" s="7">
        <v>45919</v>
      </c>
      <c r="Y2">
        <v>0</v>
      </c>
      <c r="Z2" s="6" t="s">
        <v>1638</v>
      </c>
      <c r="AA2">
        <v>1</v>
      </c>
    </row>
    <row r="3" spans="1:27" x14ac:dyDescent="0.25">
      <c r="A3">
        <v>2178</v>
      </c>
      <c r="B3">
        <v>1092386369</v>
      </c>
      <c r="C3">
        <v>1</v>
      </c>
      <c r="D3" s="6" t="s">
        <v>1716</v>
      </c>
      <c r="E3" s="6" t="s">
        <v>1717</v>
      </c>
      <c r="F3">
        <v>3142927674</v>
      </c>
      <c r="G3" s="6" t="s">
        <v>1718</v>
      </c>
      <c r="H3" s="6" t="s">
        <v>1638</v>
      </c>
      <c r="I3" s="6" t="s">
        <v>1719</v>
      </c>
      <c r="J3" s="6" t="s">
        <v>1638</v>
      </c>
      <c r="K3" s="7">
        <v>35985</v>
      </c>
      <c r="L3" s="6" t="s">
        <v>1638</v>
      </c>
      <c r="M3">
        <v>1</v>
      </c>
      <c r="N3">
        <v>4</v>
      </c>
      <c r="O3" s="6" t="s">
        <v>1638</v>
      </c>
      <c r="P3" s="6" t="s">
        <v>1638</v>
      </c>
      <c r="Q3" s="6" t="s">
        <v>1638</v>
      </c>
      <c r="R3" s="6" t="s">
        <v>1639</v>
      </c>
      <c r="S3" s="6" t="s">
        <v>1720</v>
      </c>
      <c r="T3" s="6" t="s">
        <v>1721</v>
      </c>
      <c r="U3" s="6" t="s">
        <v>1722</v>
      </c>
      <c r="V3" s="6" t="s">
        <v>1638</v>
      </c>
      <c r="W3" s="6" t="s">
        <v>35</v>
      </c>
      <c r="X3" s="7">
        <v>45922</v>
      </c>
      <c r="Y3">
        <v>0</v>
      </c>
      <c r="Z3" s="6" t="s">
        <v>1709</v>
      </c>
      <c r="AA3">
        <v>1</v>
      </c>
    </row>
    <row r="4" spans="1:27" x14ac:dyDescent="0.25">
      <c r="A4">
        <v>2182</v>
      </c>
      <c r="B4">
        <v>1126424740</v>
      </c>
      <c r="C4">
        <v>1</v>
      </c>
      <c r="D4" s="6" t="s">
        <v>1731</v>
      </c>
      <c r="E4" s="6" t="s">
        <v>1732</v>
      </c>
      <c r="F4">
        <v>3228742598</v>
      </c>
      <c r="G4" s="6" t="s">
        <v>1733</v>
      </c>
      <c r="H4" s="6" t="s">
        <v>1638</v>
      </c>
      <c r="I4" s="6" t="s">
        <v>1638</v>
      </c>
      <c r="J4" s="6" t="s">
        <v>1638</v>
      </c>
      <c r="K4" s="7">
        <v>26839</v>
      </c>
      <c r="L4" s="6" t="s">
        <v>1638</v>
      </c>
      <c r="M4">
        <v>1</v>
      </c>
      <c r="N4">
        <v>4</v>
      </c>
      <c r="O4" s="6" t="s">
        <v>1638</v>
      </c>
      <c r="P4" s="6" t="s">
        <v>1638</v>
      </c>
      <c r="Q4" s="6" t="s">
        <v>1638</v>
      </c>
      <c r="R4" s="6" t="s">
        <v>1638</v>
      </c>
      <c r="S4" s="6" t="s">
        <v>1638</v>
      </c>
      <c r="T4" s="6" t="s">
        <v>1638</v>
      </c>
      <c r="U4" s="6" t="s">
        <v>1638</v>
      </c>
      <c r="V4" s="6" t="s">
        <v>1638</v>
      </c>
      <c r="W4" s="6" t="s">
        <v>1640</v>
      </c>
      <c r="X4" s="7">
        <v>45922</v>
      </c>
      <c r="Y4">
        <v>0</v>
      </c>
      <c r="Z4" s="6" t="s">
        <v>1638</v>
      </c>
      <c r="AA4">
        <v>1</v>
      </c>
    </row>
    <row r="5" spans="1:27" x14ac:dyDescent="0.25">
      <c r="A5">
        <v>2185</v>
      </c>
      <c r="B5">
        <v>1098766559</v>
      </c>
      <c r="C5">
        <v>1</v>
      </c>
      <c r="D5" s="6" t="s">
        <v>1737</v>
      </c>
      <c r="E5" s="6" t="s">
        <v>1738</v>
      </c>
      <c r="F5">
        <v>3212371879</v>
      </c>
      <c r="G5" s="6" t="s">
        <v>1739</v>
      </c>
      <c r="H5" s="6" t="s">
        <v>1638</v>
      </c>
      <c r="I5" s="6" t="s">
        <v>1638</v>
      </c>
      <c r="J5" s="6" t="s">
        <v>1638</v>
      </c>
      <c r="K5" s="7">
        <v>34669</v>
      </c>
      <c r="L5" s="6" t="s">
        <v>1638</v>
      </c>
      <c r="M5">
        <v>2</v>
      </c>
      <c r="N5">
        <v>8</v>
      </c>
      <c r="O5" s="6" t="s">
        <v>1638</v>
      </c>
      <c r="P5" s="6" t="s">
        <v>1638</v>
      </c>
      <c r="Q5" s="6" t="s">
        <v>1638</v>
      </c>
      <c r="R5" s="6" t="s">
        <v>1638</v>
      </c>
      <c r="S5" s="6" t="s">
        <v>1638</v>
      </c>
      <c r="T5" s="6" t="s">
        <v>1638</v>
      </c>
      <c r="U5" s="6" t="s">
        <v>1638</v>
      </c>
      <c r="V5" s="6" t="s">
        <v>1638</v>
      </c>
      <c r="W5" s="6" t="s">
        <v>1640</v>
      </c>
      <c r="X5" s="7">
        <v>45922</v>
      </c>
      <c r="Y5">
        <v>0</v>
      </c>
      <c r="Z5" s="6" t="s">
        <v>1638</v>
      </c>
      <c r="AA5">
        <v>1</v>
      </c>
    </row>
    <row r="6" spans="1:27" x14ac:dyDescent="0.25">
      <c r="A6">
        <v>2197</v>
      </c>
      <c r="B6">
        <v>1095944090</v>
      </c>
      <c r="C6">
        <v>1</v>
      </c>
      <c r="D6" s="6" t="s">
        <v>1754</v>
      </c>
      <c r="E6" s="6" t="s">
        <v>1755</v>
      </c>
      <c r="F6">
        <v>3132497055</v>
      </c>
      <c r="G6" s="6" t="s">
        <v>1756</v>
      </c>
      <c r="H6" s="6" t="s">
        <v>1638</v>
      </c>
      <c r="I6" s="6" t="s">
        <v>1638</v>
      </c>
      <c r="J6" s="6" t="s">
        <v>1638</v>
      </c>
      <c r="K6" s="7">
        <v>35216</v>
      </c>
      <c r="L6" s="6" t="s">
        <v>1638</v>
      </c>
      <c r="M6">
        <v>2</v>
      </c>
      <c r="N6">
        <v>8</v>
      </c>
      <c r="O6" s="6" t="s">
        <v>1638</v>
      </c>
      <c r="P6" s="6" t="s">
        <v>1638</v>
      </c>
      <c r="Q6" s="6" t="s">
        <v>1638</v>
      </c>
      <c r="R6" s="6" t="s">
        <v>1638</v>
      </c>
      <c r="S6" s="6" t="s">
        <v>1638</v>
      </c>
      <c r="T6" s="6" t="s">
        <v>1638</v>
      </c>
      <c r="U6" s="6" t="s">
        <v>1638</v>
      </c>
      <c r="V6" s="6" t="s">
        <v>1638</v>
      </c>
      <c r="W6" s="6" t="s">
        <v>1640</v>
      </c>
      <c r="X6" s="7">
        <v>45924</v>
      </c>
      <c r="Y6">
        <v>0</v>
      </c>
      <c r="Z6" s="6" t="s">
        <v>1638</v>
      </c>
      <c r="AA6">
        <v>1</v>
      </c>
    </row>
    <row r="7" spans="1:27" x14ac:dyDescent="0.25">
      <c r="A7">
        <v>2217</v>
      </c>
      <c r="B7">
        <v>1007398638</v>
      </c>
      <c r="C7">
        <v>1</v>
      </c>
      <c r="D7" s="6" t="s">
        <v>1789</v>
      </c>
      <c r="E7" s="6" t="s">
        <v>1790</v>
      </c>
      <c r="F7">
        <v>3156115465</v>
      </c>
      <c r="G7" s="6" t="s">
        <v>1791</v>
      </c>
      <c r="H7" s="6" t="s">
        <v>1638</v>
      </c>
      <c r="I7" s="6" t="s">
        <v>1638</v>
      </c>
      <c r="J7" s="6" t="s">
        <v>1638</v>
      </c>
      <c r="K7" s="7">
        <v>36562</v>
      </c>
      <c r="L7" s="6" t="s">
        <v>1638</v>
      </c>
      <c r="M7">
        <v>1</v>
      </c>
      <c r="N7">
        <v>2</v>
      </c>
      <c r="O7" s="6" t="s">
        <v>1638</v>
      </c>
      <c r="P7" s="6" t="s">
        <v>1638</v>
      </c>
      <c r="Q7" s="6" t="s">
        <v>1638</v>
      </c>
      <c r="R7" s="6" t="s">
        <v>1638</v>
      </c>
      <c r="S7" s="6" t="s">
        <v>1638</v>
      </c>
      <c r="T7" s="6" t="s">
        <v>1638</v>
      </c>
      <c r="U7" s="6" t="s">
        <v>1638</v>
      </c>
      <c r="V7" s="6" t="s">
        <v>1638</v>
      </c>
      <c r="W7" s="6" t="s">
        <v>1640</v>
      </c>
      <c r="X7" s="7">
        <v>45926</v>
      </c>
      <c r="Y7">
        <v>0</v>
      </c>
      <c r="Z7" s="6" t="s">
        <v>1638</v>
      </c>
      <c r="AA7">
        <v>1</v>
      </c>
    </row>
    <row r="8" spans="1:27" x14ac:dyDescent="0.25">
      <c r="A8">
        <v>2223</v>
      </c>
      <c r="B8">
        <v>1005281651</v>
      </c>
      <c r="C8">
        <v>1</v>
      </c>
      <c r="D8" s="6" t="s">
        <v>1796</v>
      </c>
      <c r="E8" s="6" t="s">
        <v>1797</v>
      </c>
      <c r="F8">
        <v>3025118581</v>
      </c>
      <c r="G8" s="6" t="s">
        <v>1460</v>
      </c>
      <c r="H8" s="6" t="s">
        <v>1638</v>
      </c>
      <c r="I8" s="6" t="s">
        <v>1638</v>
      </c>
      <c r="J8" s="6" t="s">
        <v>1638</v>
      </c>
      <c r="K8" s="7">
        <v>36865</v>
      </c>
      <c r="L8" s="6" t="s">
        <v>1638</v>
      </c>
      <c r="M8">
        <v>1</v>
      </c>
      <c r="N8">
        <v>2</v>
      </c>
      <c r="O8" s="6" t="s">
        <v>1638</v>
      </c>
      <c r="P8" s="6" t="s">
        <v>1638</v>
      </c>
      <c r="Q8" s="6" t="s">
        <v>1638</v>
      </c>
      <c r="R8" s="6" t="s">
        <v>1638</v>
      </c>
      <c r="S8" s="6" t="s">
        <v>1638</v>
      </c>
      <c r="T8" s="6" t="s">
        <v>1638</v>
      </c>
      <c r="U8" s="6" t="s">
        <v>1638</v>
      </c>
      <c r="V8" s="6" t="s">
        <v>1638</v>
      </c>
      <c r="W8" s="6" t="s">
        <v>1640</v>
      </c>
      <c r="X8" s="7">
        <v>45927</v>
      </c>
      <c r="Y8">
        <v>0</v>
      </c>
      <c r="Z8" s="6" t="s">
        <v>1638</v>
      </c>
      <c r="AA8">
        <v>1</v>
      </c>
    </row>
    <row r="9" spans="1:27" x14ac:dyDescent="0.25">
      <c r="A9">
        <v>2232</v>
      </c>
      <c r="B9">
        <v>1098718284</v>
      </c>
      <c r="C9">
        <v>1</v>
      </c>
      <c r="D9" s="6" t="s">
        <v>1811</v>
      </c>
      <c r="E9" s="6" t="s">
        <v>1812</v>
      </c>
      <c r="F9">
        <v>3153049735</v>
      </c>
      <c r="G9" s="6" t="s">
        <v>1813</v>
      </c>
      <c r="H9" s="6" t="s">
        <v>1638</v>
      </c>
      <c r="I9" s="6" t="s">
        <v>1814</v>
      </c>
      <c r="J9" s="6" t="s">
        <v>1638</v>
      </c>
      <c r="K9" s="7">
        <v>33657</v>
      </c>
      <c r="L9" s="6" t="s">
        <v>1638</v>
      </c>
      <c r="M9">
        <v>1</v>
      </c>
      <c r="N9">
        <v>10</v>
      </c>
      <c r="O9" s="6" t="s">
        <v>1638</v>
      </c>
      <c r="P9" s="6" t="s">
        <v>1638</v>
      </c>
      <c r="Q9" s="6" t="s">
        <v>1638</v>
      </c>
      <c r="R9" s="6" t="s">
        <v>1815</v>
      </c>
      <c r="S9" s="6" t="s">
        <v>1816</v>
      </c>
      <c r="T9" s="6" t="s">
        <v>1721</v>
      </c>
      <c r="U9" s="6" t="s">
        <v>1817</v>
      </c>
      <c r="V9" s="6" t="s">
        <v>1638</v>
      </c>
      <c r="W9" s="6" t="s">
        <v>35</v>
      </c>
      <c r="X9" s="7">
        <v>45929</v>
      </c>
      <c r="Y9">
        <v>0</v>
      </c>
      <c r="Z9" s="6" t="s">
        <v>1709</v>
      </c>
      <c r="AA9">
        <v>18</v>
      </c>
    </row>
    <row r="10" spans="1:27" x14ac:dyDescent="0.25">
      <c r="A10">
        <v>2234</v>
      </c>
      <c r="B10">
        <v>1098070689</v>
      </c>
      <c r="C10">
        <v>1</v>
      </c>
      <c r="D10" s="6" t="s">
        <v>1831</v>
      </c>
      <c r="E10" s="6" t="s">
        <v>1832</v>
      </c>
      <c r="F10">
        <v>3107907445</v>
      </c>
      <c r="G10" s="6" t="s">
        <v>1833</v>
      </c>
      <c r="H10" s="6" t="s">
        <v>1638</v>
      </c>
      <c r="I10" s="6" t="s">
        <v>1834</v>
      </c>
      <c r="J10" s="6" t="s">
        <v>1638</v>
      </c>
      <c r="K10" s="7">
        <v>38289</v>
      </c>
      <c r="L10" s="6" t="s">
        <v>1638</v>
      </c>
      <c r="M10">
        <v>1</v>
      </c>
      <c r="N10">
        <v>2</v>
      </c>
      <c r="O10" s="6" t="s">
        <v>1638</v>
      </c>
      <c r="P10" s="6" t="s">
        <v>1638</v>
      </c>
      <c r="Q10" s="6" t="s">
        <v>1638</v>
      </c>
      <c r="R10" s="6" t="s">
        <v>1695</v>
      </c>
      <c r="S10" s="6" t="s">
        <v>1835</v>
      </c>
      <c r="T10" s="6" t="s">
        <v>1721</v>
      </c>
      <c r="U10" s="6" t="s">
        <v>1836</v>
      </c>
      <c r="V10" s="6" t="s">
        <v>1638</v>
      </c>
      <c r="W10" s="6" t="s">
        <v>35</v>
      </c>
      <c r="X10" s="7">
        <v>45929</v>
      </c>
      <c r="Y10">
        <v>0</v>
      </c>
      <c r="Z10" s="6" t="s">
        <v>1709</v>
      </c>
      <c r="AA10">
        <v>1</v>
      </c>
    </row>
    <row r="11" spans="1:27" x14ac:dyDescent="0.25">
      <c r="A11">
        <v>2235</v>
      </c>
      <c r="B11">
        <v>1098819918</v>
      </c>
      <c r="C11">
        <v>1</v>
      </c>
      <c r="D11" s="6" t="s">
        <v>1837</v>
      </c>
      <c r="E11" s="6" t="s">
        <v>1838</v>
      </c>
      <c r="F11">
        <v>3223223953</v>
      </c>
      <c r="G11" s="6" t="s">
        <v>1839</v>
      </c>
      <c r="H11" s="6" t="s">
        <v>1638</v>
      </c>
      <c r="I11" s="6" t="s">
        <v>1840</v>
      </c>
      <c r="J11" s="6" t="s">
        <v>1638</v>
      </c>
      <c r="K11" s="7">
        <v>36316</v>
      </c>
      <c r="L11" s="6" t="s">
        <v>1638</v>
      </c>
      <c r="M11">
        <v>2</v>
      </c>
      <c r="N11">
        <v>2</v>
      </c>
      <c r="O11" s="6" t="s">
        <v>1638</v>
      </c>
      <c r="P11" s="6" t="s">
        <v>1638</v>
      </c>
      <c r="Q11" s="6" t="s">
        <v>1638</v>
      </c>
      <c r="R11" s="6" t="s">
        <v>1639</v>
      </c>
      <c r="S11" s="6" t="s">
        <v>1841</v>
      </c>
      <c r="T11" s="6" t="s">
        <v>1842</v>
      </c>
      <c r="U11" s="6" t="s">
        <v>1843</v>
      </c>
      <c r="V11" s="6" t="s">
        <v>1638</v>
      </c>
      <c r="W11" s="6" t="s">
        <v>35</v>
      </c>
      <c r="X11" s="7">
        <v>45929</v>
      </c>
      <c r="Y11">
        <v>0</v>
      </c>
      <c r="Z11" s="6" t="s">
        <v>1709</v>
      </c>
      <c r="AA11">
        <v>1</v>
      </c>
    </row>
    <row r="12" spans="1:27" x14ac:dyDescent="0.25">
      <c r="A12">
        <v>2236</v>
      </c>
      <c r="B12">
        <v>1044607327</v>
      </c>
      <c r="C12">
        <v>1</v>
      </c>
      <c r="D12" s="6" t="s">
        <v>1844</v>
      </c>
      <c r="E12" s="6" t="s">
        <v>1845</v>
      </c>
      <c r="F12">
        <v>3043322841</v>
      </c>
      <c r="G12" s="6" t="s">
        <v>1846</v>
      </c>
      <c r="H12" s="6" t="s">
        <v>1638</v>
      </c>
      <c r="I12" s="6" t="s">
        <v>1847</v>
      </c>
      <c r="J12" s="6" t="s">
        <v>1638</v>
      </c>
      <c r="K12" s="7">
        <v>38344</v>
      </c>
      <c r="L12" s="6" t="s">
        <v>1638</v>
      </c>
      <c r="M12">
        <v>2</v>
      </c>
      <c r="N12">
        <v>3</v>
      </c>
      <c r="O12" s="6" t="s">
        <v>1638</v>
      </c>
      <c r="P12" s="6" t="s">
        <v>1638</v>
      </c>
      <c r="Q12" s="6" t="s">
        <v>1638</v>
      </c>
      <c r="R12" s="6" t="s">
        <v>1848</v>
      </c>
      <c r="S12" s="6" t="s">
        <v>1849</v>
      </c>
      <c r="T12" s="6" t="s">
        <v>1721</v>
      </c>
      <c r="U12" s="6" t="s">
        <v>1850</v>
      </c>
      <c r="V12" s="6" t="s">
        <v>1638</v>
      </c>
      <c r="W12" s="6" t="s">
        <v>35</v>
      </c>
      <c r="X12" s="7">
        <v>45929</v>
      </c>
      <c r="Y12">
        <v>0</v>
      </c>
      <c r="Z12" s="6" t="s">
        <v>1709</v>
      </c>
      <c r="AA12">
        <v>1</v>
      </c>
    </row>
    <row r="13" spans="1:27" x14ac:dyDescent="0.25">
      <c r="A13">
        <v>2237</v>
      </c>
      <c r="B13">
        <v>1102361317</v>
      </c>
      <c r="C13">
        <v>3</v>
      </c>
      <c r="D13" s="6" t="s">
        <v>1851</v>
      </c>
      <c r="E13" s="6" t="s">
        <v>1852</v>
      </c>
      <c r="F13">
        <v>3006043949</v>
      </c>
      <c r="G13" s="6" t="s">
        <v>1853</v>
      </c>
      <c r="H13" s="6" t="s">
        <v>1638</v>
      </c>
      <c r="I13" s="6" t="s">
        <v>1854</v>
      </c>
      <c r="J13" s="6" t="s">
        <v>1638</v>
      </c>
      <c r="K13" s="7">
        <v>39329</v>
      </c>
      <c r="L13" s="6" t="s">
        <v>1638</v>
      </c>
      <c r="M13">
        <v>1</v>
      </c>
      <c r="N13">
        <v>5</v>
      </c>
      <c r="O13" s="6" t="s">
        <v>1638</v>
      </c>
      <c r="P13" s="6" t="s">
        <v>1638</v>
      </c>
      <c r="Q13" s="6" t="s">
        <v>1638</v>
      </c>
      <c r="R13" s="6" t="s">
        <v>1855</v>
      </c>
      <c r="S13" s="6" t="s">
        <v>1856</v>
      </c>
      <c r="T13" s="6" t="s">
        <v>1721</v>
      </c>
      <c r="U13" s="6" t="s">
        <v>1857</v>
      </c>
      <c r="V13" s="6" t="s">
        <v>1638</v>
      </c>
      <c r="W13" s="6" t="s">
        <v>35</v>
      </c>
      <c r="X13" s="7">
        <v>45929</v>
      </c>
      <c r="Y13">
        <v>0</v>
      </c>
      <c r="Z13" s="6" t="s">
        <v>1709</v>
      </c>
      <c r="AA13">
        <v>1</v>
      </c>
    </row>
    <row r="14" spans="1:27" x14ac:dyDescent="0.25">
      <c r="A14">
        <v>2238</v>
      </c>
      <c r="B14">
        <v>1094267818</v>
      </c>
      <c r="C14">
        <v>1</v>
      </c>
      <c r="D14" s="6" t="s">
        <v>1858</v>
      </c>
      <c r="E14" s="6" t="s">
        <v>1859</v>
      </c>
      <c r="F14">
        <v>3016218873</v>
      </c>
      <c r="G14" s="6" t="s">
        <v>1860</v>
      </c>
      <c r="H14" s="6" t="s">
        <v>1638</v>
      </c>
      <c r="I14" s="6" t="s">
        <v>1861</v>
      </c>
      <c r="J14" s="6" t="s">
        <v>1638</v>
      </c>
      <c r="K14" s="7">
        <v>33565</v>
      </c>
      <c r="L14" s="6" t="s">
        <v>1638</v>
      </c>
      <c r="M14">
        <v>1</v>
      </c>
      <c r="N14">
        <v>4</v>
      </c>
      <c r="O14" s="6" t="s">
        <v>1638</v>
      </c>
      <c r="P14" s="6" t="s">
        <v>1638</v>
      </c>
      <c r="Q14" s="6" t="s">
        <v>1638</v>
      </c>
      <c r="R14" s="6" t="s">
        <v>1848</v>
      </c>
      <c r="S14" s="6" t="s">
        <v>1862</v>
      </c>
      <c r="T14" s="6" t="s">
        <v>1842</v>
      </c>
      <c r="U14" s="6" t="s">
        <v>1863</v>
      </c>
      <c r="V14" s="6" t="s">
        <v>1638</v>
      </c>
      <c r="W14" s="6" t="s">
        <v>35</v>
      </c>
      <c r="X14" s="7">
        <v>45929</v>
      </c>
      <c r="Y14">
        <v>0</v>
      </c>
      <c r="Z14" s="6" t="s">
        <v>1709</v>
      </c>
      <c r="AA14">
        <v>19</v>
      </c>
    </row>
    <row r="15" spans="1:27" x14ac:dyDescent="0.25">
      <c r="A15">
        <v>2250</v>
      </c>
      <c r="B15">
        <v>1076666956</v>
      </c>
      <c r="C15">
        <v>1</v>
      </c>
      <c r="D15" s="6" t="s">
        <v>1892</v>
      </c>
      <c r="E15" s="6" t="s">
        <v>1893</v>
      </c>
      <c r="F15">
        <v>3204782802</v>
      </c>
      <c r="G15" s="6" t="s">
        <v>1269</v>
      </c>
      <c r="H15" s="6" t="s">
        <v>1638</v>
      </c>
      <c r="I15" s="6" t="s">
        <v>1638</v>
      </c>
      <c r="J15" s="6" t="s">
        <v>1638</v>
      </c>
      <c r="K15" s="7">
        <v>35753</v>
      </c>
      <c r="L15" s="6" t="s">
        <v>1638</v>
      </c>
      <c r="M15">
        <v>1</v>
      </c>
      <c r="N15">
        <v>6</v>
      </c>
      <c r="O15" s="6" t="s">
        <v>1638</v>
      </c>
      <c r="P15" s="6" t="s">
        <v>1638</v>
      </c>
      <c r="Q15" s="6" t="s">
        <v>1638</v>
      </c>
      <c r="R15" s="6" t="s">
        <v>1638</v>
      </c>
      <c r="S15" s="6" t="s">
        <v>1638</v>
      </c>
      <c r="T15" s="6" t="s">
        <v>1638</v>
      </c>
      <c r="U15" s="6" t="s">
        <v>1638</v>
      </c>
      <c r="V15" s="6" t="s">
        <v>1638</v>
      </c>
      <c r="W15" s="6" t="s">
        <v>1640</v>
      </c>
      <c r="X15" s="7">
        <v>45930</v>
      </c>
      <c r="Y15">
        <v>0</v>
      </c>
      <c r="Z15" s="6" t="s">
        <v>1638</v>
      </c>
      <c r="AA15">
        <v>19</v>
      </c>
    </row>
    <row r="16" spans="1:27" x14ac:dyDescent="0.25">
      <c r="A16">
        <v>2242</v>
      </c>
      <c r="B16">
        <v>1005282516</v>
      </c>
      <c r="C16">
        <v>1</v>
      </c>
      <c r="D16" s="6" t="s">
        <v>1894</v>
      </c>
      <c r="E16" s="6" t="s">
        <v>1895</v>
      </c>
      <c r="F16">
        <v>3163220791</v>
      </c>
      <c r="G16" s="6" t="s">
        <v>1291</v>
      </c>
      <c r="H16" s="6" t="s">
        <v>1638</v>
      </c>
      <c r="I16" s="6" t="s">
        <v>1896</v>
      </c>
      <c r="J16" s="6" t="s">
        <v>1638</v>
      </c>
      <c r="K16" s="7">
        <v>37873</v>
      </c>
      <c r="L16" s="6" t="s">
        <v>1638</v>
      </c>
      <c r="M16">
        <v>2</v>
      </c>
      <c r="N16">
        <v>3</v>
      </c>
      <c r="O16" s="6" t="s">
        <v>1638</v>
      </c>
      <c r="P16" s="6" t="s">
        <v>1638</v>
      </c>
      <c r="Q16" s="6" t="s">
        <v>1638</v>
      </c>
      <c r="R16" s="6" t="s">
        <v>1897</v>
      </c>
      <c r="S16" s="6" t="s">
        <v>1898</v>
      </c>
      <c r="T16" s="6" t="s">
        <v>1721</v>
      </c>
      <c r="U16" s="6" t="s">
        <v>1899</v>
      </c>
      <c r="V16" s="6" t="s">
        <v>1638</v>
      </c>
      <c r="W16" s="6" t="s">
        <v>35</v>
      </c>
      <c r="X16" s="7">
        <v>45930</v>
      </c>
      <c r="Y16">
        <v>0</v>
      </c>
      <c r="Z16" s="6" t="s">
        <v>1709</v>
      </c>
      <c r="AA16">
        <v>1</v>
      </c>
    </row>
    <row r="17" spans="1:27" x14ac:dyDescent="0.25">
      <c r="A17">
        <v>2255</v>
      </c>
      <c r="B17">
        <v>32175631</v>
      </c>
      <c r="C17">
        <v>2</v>
      </c>
      <c r="D17" s="6" t="s">
        <v>1900</v>
      </c>
      <c r="E17" s="6" t="s">
        <v>1901</v>
      </c>
      <c r="F17">
        <v>3166370293</v>
      </c>
      <c r="G17" s="6" t="s">
        <v>1902</v>
      </c>
      <c r="H17" s="6" t="s">
        <v>1638</v>
      </c>
      <c r="I17" s="6" t="s">
        <v>1638</v>
      </c>
      <c r="J17" s="6" t="s">
        <v>1638</v>
      </c>
      <c r="K17" s="7">
        <v>38602</v>
      </c>
      <c r="L17" s="6" t="s">
        <v>1638</v>
      </c>
      <c r="M17">
        <v>1</v>
      </c>
      <c r="N17">
        <v>10</v>
      </c>
      <c r="O17" s="6" t="s">
        <v>1638</v>
      </c>
      <c r="P17" s="6" t="s">
        <v>1638</v>
      </c>
      <c r="Q17" s="6" t="s">
        <v>1638</v>
      </c>
      <c r="R17" s="6" t="s">
        <v>1638</v>
      </c>
      <c r="S17" s="6" t="s">
        <v>1638</v>
      </c>
      <c r="T17" s="6" t="s">
        <v>1638</v>
      </c>
      <c r="U17" s="6" t="s">
        <v>1638</v>
      </c>
      <c r="V17" s="6" t="s">
        <v>1638</v>
      </c>
      <c r="W17" s="6" t="s">
        <v>1640</v>
      </c>
      <c r="X17" s="7">
        <v>45930</v>
      </c>
      <c r="Y17">
        <v>0</v>
      </c>
      <c r="Z17" s="6" t="s">
        <v>1638</v>
      </c>
      <c r="AA17">
        <v>18</v>
      </c>
    </row>
    <row r="18" spans="1:27" x14ac:dyDescent="0.25">
      <c r="A18">
        <v>2256</v>
      </c>
      <c r="B18">
        <v>1098073585</v>
      </c>
      <c r="C18">
        <v>3</v>
      </c>
      <c r="D18" s="6" t="s">
        <v>1903</v>
      </c>
      <c r="E18" s="6" t="s">
        <v>1904</v>
      </c>
      <c r="F18">
        <v>3108897521</v>
      </c>
      <c r="G18" s="6" t="s">
        <v>1905</v>
      </c>
      <c r="H18" s="6" t="s">
        <v>1638</v>
      </c>
      <c r="I18" s="6" t="s">
        <v>1906</v>
      </c>
      <c r="J18" s="6" t="s">
        <v>1638</v>
      </c>
      <c r="K18" s="7">
        <v>39550</v>
      </c>
      <c r="L18" s="6" t="s">
        <v>1638</v>
      </c>
      <c r="M18">
        <v>2</v>
      </c>
      <c r="N18">
        <v>5</v>
      </c>
      <c r="O18" s="6" t="s">
        <v>1638</v>
      </c>
      <c r="P18" s="6" t="s">
        <v>1638</v>
      </c>
      <c r="Q18" s="6" t="s">
        <v>1638</v>
      </c>
      <c r="R18" s="6" t="s">
        <v>1848</v>
      </c>
      <c r="S18" s="6" t="s">
        <v>1907</v>
      </c>
      <c r="T18" s="6" t="s">
        <v>1721</v>
      </c>
      <c r="U18" s="6" t="s">
        <v>1908</v>
      </c>
      <c r="V18" s="6" t="s">
        <v>1638</v>
      </c>
      <c r="W18" s="6" t="s">
        <v>35</v>
      </c>
      <c r="X18" s="7">
        <v>45930</v>
      </c>
      <c r="Y18">
        <v>0</v>
      </c>
      <c r="Z18" s="6" t="s">
        <v>1709</v>
      </c>
      <c r="AA18">
        <v>1</v>
      </c>
    </row>
    <row r="19" spans="1:27" x14ac:dyDescent="0.25">
      <c r="A19">
        <v>2261</v>
      </c>
      <c r="B19">
        <v>1098625892</v>
      </c>
      <c r="C19">
        <v>1</v>
      </c>
      <c r="D19" s="6" t="s">
        <v>1916</v>
      </c>
      <c r="E19" s="6" t="s">
        <v>1917</v>
      </c>
      <c r="F19">
        <v>3153740663</v>
      </c>
      <c r="G19" s="6" t="s">
        <v>1918</v>
      </c>
      <c r="H19" s="6" t="s">
        <v>1638</v>
      </c>
      <c r="I19" s="6" t="s">
        <v>1638</v>
      </c>
      <c r="J19" s="6" t="s">
        <v>1638</v>
      </c>
      <c r="K19" s="7">
        <v>38322</v>
      </c>
      <c r="L19" s="6" t="s">
        <v>1638</v>
      </c>
      <c r="M19">
        <v>2</v>
      </c>
      <c r="N19">
        <v>10</v>
      </c>
      <c r="O19" s="6" t="s">
        <v>1638</v>
      </c>
      <c r="P19" s="6" t="s">
        <v>1638</v>
      </c>
      <c r="Q19" s="6" t="s">
        <v>1638</v>
      </c>
      <c r="R19" s="6" t="s">
        <v>1638</v>
      </c>
      <c r="S19" s="6" t="s">
        <v>1638</v>
      </c>
      <c r="T19" s="6" t="s">
        <v>1638</v>
      </c>
      <c r="U19" s="6" t="s">
        <v>1638</v>
      </c>
      <c r="V19" s="6" t="s">
        <v>1638</v>
      </c>
      <c r="W19" s="6" t="s">
        <v>1640</v>
      </c>
      <c r="X19" s="7">
        <v>45930</v>
      </c>
      <c r="Y19">
        <v>0</v>
      </c>
      <c r="Z19" s="6" t="s">
        <v>1638</v>
      </c>
      <c r="AA19">
        <v>18</v>
      </c>
    </row>
    <row r="20" spans="1:27" x14ac:dyDescent="0.25">
      <c r="A20">
        <v>2264</v>
      </c>
      <c r="B20">
        <v>1090475652</v>
      </c>
      <c r="C20">
        <v>1</v>
      </c>
      <c r="D20" s="6" t="s">
        <v>1919</v>
      </c>
      <c r="E20" s="6" t="s">
        <v>1920</v>
      </c>
      <c r="F20">
        <v>3022944427</v>
      </c>
      <c r="G20" s="6" t="s">
        <v>1921</v>
      </c>
      <c r="H20" s="6" t="s">
        <v>1638</v>
      </c>
      <c r="I20" s="6" t="s">
        <v>1922</v>
      </c>
      <c r="J20" s="6" t="s">
        <v>1638</v>
      </c>
      <c r="K20" s="7">
        <v>34314</v>
      </c>
      <c r="L20" s="6" t="s">
        <v>1638</v>
      </c>
      <c r="M20">
        <v>1</v>
      </c>
      <c r="N20">
        <v>6</v>
      </c>
      <c r="O20" s="6" t="s">
        <v>1638</v>
      </c>
      <c r="P20" s="6" t="s">
        <v>1638</v>
      </c>
      <c r="Q20" s="6" t="s">
        <v>1638</v>
      </c>
      <c r="R20" s="6" t="s">
        <v>1663</v>
      </c>
      <c r="S20" s="6" t="s">
        <v>1923</v>
      </c>
      <c r="T20" s="6" t="s">
        <v>1721</v>
      </c>
      <c r="U20" s="6" t="s">
        <v>1924</v>
      </c>
      <c r="V20" s="6" t="s">
        <v>1638</v>
      </c>
      <c r="W20" s="6" t="s">
        <v>35</v>
      </c>
      <c r="X20" s="7">
        <v>45931</v>
      </c>
      <c r="Y20">
        <v>0</v>
      </c>
      <c r="Z20" s="6" t="s">
        <v>1709</v>
      </c>
      <c r="AA20">
        <v>18</v>
      </c>
    </row>
    <row r="21" spans="1:27" x14ac:dyDescent="0.25">
      <c r="A21">
        <v>2275</v>
      </c>
      <c r="B21">
        <v>1096700440</v>
      </c>
      <c r="C21">
        <v>1</v>
      </c>
      <c r="D21" s="6" t="s">
        <v>1949</v>
      </c>
      <c r="E21" s="6" t="s">
        <v>1950</v>
      </c>
      <c r="F21">
        <v>3245568323</v>
      </c>
      <c r="G21" s="6" t="s">
        <v>1951</v>
      </c>
      <c r="H21" s="6" t="s">
        <v>1638</v>
      </c>
      <c r="I21" s="6" t="s">
        <v>1952</v>
      </c>
      <c r="J21" s="6" t="s">
        <v>1638</v>
      </c>
      <c r="K21" s="7">
        <v>38234</v>
      </c>
      <c r="L21" s="6" t="s">
        <v>1638</v>
      </c>
      <c r="M21">
        <v>2</v>
      </c>
      <c r="N21">
        <v>10</v>
      </c>
      <c r="O21" s="6" t="s">
        <v>1638</v>
      </c>
      <c r="P21" s="6" t="s">
        <v>1638</v>
      </c>
      <c r="Q21" s="6" t="s">
        <v>1638</v>
      </c>
      <c r="R21" s="6" t="s">
        <v>1897</v>
      </c>
      <c r="S21" s="6" t="s">
        <v>1953</v>
      </c>
      <c r="T21" s="6" t="s">
        <v>1721</v>
      </c>
      <c r="U21" s="6" t="s">
        <v>1954</v>
      </c>
      <c r="V21" s="6" t="s">
        <v>1638</v>
      </c>
      <c r="W21" s="6" t="s">
        <v>35</v>
      </c>
      <c r="X21" s="7">
        <v>45931</v>
      </c>
      <c r="Y21">
        <v>0</v>
      </c>
      <c r="Z21" s="6" t="s">
        <v>1709</v>
      </c>
      <c r="AA21">
        <v>19</v>
      </c>
    </row>
    <row r="22" spans="1:27" x14ac:dyDescent="0.25">
      <c r="A22">
        <v>2280</v>
      </c>
      <c r="B22">
        <v>1093775147</v>
      </c>
      <c r="C22">
        <v>1</v>
      </c>
      <c r="D22" s="6" t="s">
        <v>1962</v>
      </c>
      <c r="E22" s="6" t="s">
        <v>1963</v>
      </c>
      <c r="F22">
        <v>3023859906</v>
      </c>
      <c r="G22" s="6" t="s">
        <v>1964</v>
      </c>
      <c r="H22" s="6" t="s">
        <v>1638</v>
      </c>
      <c r="I22" s="6" t="s">
        <v>1965</v>
      </c>
      <c r="J22" s="6" t="s">
        <v>1638</v>
      </c>
      <c r="K22" s="7">
        <v>34632</v>
      </c>
      <c r="L22" s="6" t="s">
        <v>1638</v>
      </c>
      <c r="M22">
        <v>2</v>
      </c>
      <c r="N22">
        <v>6</v>
      </c>
      <c r="O22" s="6" t="s">
        <v>1638</v>
      </c>
      <c r="P22" s="6" t="s">
        <v>1638</v>
      </c>
      <c r="Q22" s="6" t="s">
        <v>1638</v>
      </c>
      <c r="R22" s="6" t="s">
        <v>1966</v>
      </c>
      <c r="S22" s="6" t="s">
        <v>1967</v>
      </c>
      <c r="T22" s="6" t="s">
        <v>1721</v>
      </c>
      <c r="U22" s="6" t="s">
        <v>1968</v>
      </c>
      <c r="V22" s="6" t="s">
        <v>1638</v>
      </c>
      <c r="W22" s="6" t="s">
        <v>35</v>
      </c>
      <c r="X22" s="7">
        <v>45932</v>
      </c>
      <c r="Y22">
        <v>0</v>
      </c>
      <c r="Z22" s="6" t="s">
        <v>1709</v>
      </c>
      <c r="AA22">
        <v>19</v>
      </c>
    </row>
    <row r="23" spans="1:27" x14ac:dyDescent="0.25">
      <c r="A23">
        <v>2284</v>
      </c>
      <c r="B23">
        <v>1090535263</v>
      </c>
      <c r="C23">
        <v>1</v>
      </c>
      <c r="D23" s="6" t="s">
        <v>1974</v>
      </c>
      <c r="E23" s="6" t="s">
        <v>1975</v>
      </c>
      <c r="F23">
        <v>3135740397</v>
      </c>
      <c r="G23" s="6" t="s">
        <v>1976</v>
      </c>
      <c r="H23" s="6" t="s">
        <v>1638</v>
      </c>
      <c r="I23" s="6" t="s">
        <v>1638</v>
      </c>
      <c r="J23" s="6" t="s">
        <v>1638</v>
      </c>
      <c r="K23" s="7">
        <v>36451</v>
      </c>
      <c r="L23" s="6" t="s">
        <v>1638</v>
      </c>
      <c r="M23">
        <v>1</v>
      </c>
      <c r="N23">
        <v>4</v>
      </c>
      <c r="O23" s="6" t="s">
        <v>1638</v>
      </c>
      <c r="P23" s="6" t="s">
        <v>1638</v>
      </c>
      <c r="Q23" s="6" t="s">
        <v>1638</v>
      </c>
      <c r="R23" s="6" t="s">
        <v>1638</v>
      </c>
      <c r="S23" s="6" t="s">
        <v>1638</v>
      </c>
      <c r="T23" s="6" t="s">
        <v>1638</v>
      </c>
      <c r="U23" s="6" t="s">
        <v>1638</v>
      </c>
      <c r="V23" s="6" t="s">
        <v>1638</v>
      </c>
      <c r="W23" s="6" t="s">
        <v>1640</v>
      </c>
      <c r="X23" s="7">
        <v>45932</v>
      </c>
      <c r="Y23">
        <v>0</v>
      </c>
      <c r="Z23" s="6" t="s">
        <v>1638</v>
      </c>
      <c r="AA23">
        <v>1</v>
      </c>
    </row>
    <row r="24" spans="1:27" x14ac:dyDescent="0.25">
      <c r="A24">
        <v>2290</v>
      </c>
      <c r="B24">
        <v>1097911303</v>
      </c>
      <c r="C24">
        <v>1</v>
      </c>
      <c r="D24" s="6" t="s">
        <v>1990</v>
      </c>
      <c r="E24" s="6" t="s">
        <v>1991</v>
      </c>
      <c r="F24">
        <v>3001632609</v>
      </c>
      <c r="G24" s="6" t="s">
        <v>1992</v>
      </c>
      <c r="H24" s="6" t="s">
        <v>1638</v>
      </c>
      <c r="I24" s="6" t="s">
        <v>1993</v>
      </c>
      <c r="J24" s="6" t="s">
        <v>1638</v>
      </c>
      <c r="K24" s="7">
        <v>38768</v>
      </c>
      <c r="L24" s="6" t="s">
        <v>1638</v>
      </c>
      <c r="M24">
        <v>2</v>
      </c>
      <c r="N24">
        <v>5</v>
      </c>
      <c r="O24" s="6" t="s">
        <v>1638</v>
      </c>
      <c r="P24" s="6" t="s">
        <v>1638</v>
      </c>
      <c r="Q24" s="6" t="s">
        <v>1638</v>
      </c>
      <c r="R24" s="6" t="s">
        <v>1848</v>
      </c>
      <c r="S24" s="6" t="s">
        <v>1994</v>
      </c>
      <c r="T24" s="6" t="s">
        <v>1721</v>
      </c>
      <c r="U24" s="6" t="s">
        <v>1995</v>
      </c>
      <c r="V24" s="6" t="s">
        <v>1638</v>
      </c>
      <c r="W24" s="6" t="s">
        <v>35</v>
      </c>
      <c r="X24" s="7">
        <v>45933</v>
      </c>
      <c r="Y24">
        <v>0</v>
      </c>
      <c r="Z24" s="6" t="s">
        <v>1709</v>
      </c>
      <c r="AA24">
        <v>1</v>
      </c>
    </row>
    <row r="25" spans="1:27" x14ac:dyDescent="0.25">
      <c r="A25">
        <v>2294</v>
      </c>
      <c r="B25">
        <v>1095934040</v>
      </c>
      <c r="C25">
        <v>1</v>
      </c>
      <c r="D25" s="6" t="s">
        <v>1998</v>
      </c>
      <c r="E25" s="6" t="s">
        <v>1999</v>
      </c>
      <c r="F25">
        <v>3106732017</v>
      </c>
      <c r="G25" s="6" t="s">
        <v>2000</v>
      </c>
      <c r="H25" s="6" t="s">
        <v>1638</v>
      </c>
      <c r="I25" s="6" t="s">
        <v>2001</v>
      </c>
      <c r="J25" s="6" t="s">
        <v>1638</v>
      </c>
      <c r="K25" s="7">
        <v>34218</v>
      </c>
      <c r="L25" s="6" t="s">
        <v>1638</v>
      </c>
      <c r="M25">
        <v>2</v>
      </c>
      <c r="N25">
        <v>8</v>
      </c>
      <c r="O25" s="6" t="s">
        <v>1638</v>
      </c>
      <c r="P25" s="6" t="s">
        <v>1638</v>
      </c>
      <c r="Q25" s="6" t="s">
        <v>1638</v>
      </c>
      <c r="R25" s="6" t="s">
        <v>1639</v>
      </c>
      <c r="S25" s="6" t="s">
        <v>2002</v>
      </c>
      <c r="T25" s="6" t="s">
        <v>1721</v>
      </c>
      <c r="U25" s="6" t="s">
        <v>2003</v>
      </c>
      <c r="V25" s="6" t="s">
        <v>1638</v>
      </c>
      <c r="W25" s="6" t="s">
        <v>35</v>
      </c>
      <c r="X25" s="7">
        <v>45933</v>
      </c>
      <c r="Y25">
        <v>0</v>
      </c>
      <c r="Z25" s="6" t="s">
        <v>1709</v>
      </c>
      <c r="AA25">
        <v>1</v>
      </c>
    </row>
    <row r="26" spans="1:27" x14ac:dyDescent="0.25">
      <c r="A26">
        <v>2295</v>
      </c>
      <c r="B26">
        <v>1005028371</v>
      </c>
      <c r="C26">
        <v>1</v>
      </c>
      <c r="D26" s="6" t="s">
        <v>2004</v>
      </c>
      <c r="E26" s="6" t="s">
        <v>2005</v>
      </c>
      <c r="F26">
        <v>3114043359</v>
      </c>
      <c r="G26" s="6" t="s">
        <v>2006</v>
      </c>
      <c r="H26" s="6" t="s">
        <v>1638</v>
      </c>
      <c r="I26" s="6" t="s">
        <v>2007</v>
      </c>
      <c r="J26" s="6" t="s">
        <v>1638</v>
      </c>
      <c r="K26" s="7">
        <v>37762</v>
      </c>
      <c r="L26" s="6" t="s">
        <v>1638</v>
      </c>
      <c r="M26">
        <v>2</v>
      </c>
      <c r="N26">
        <v>4</v>
      </c>
      <c r="O26" s="6" t="s">
        <v>1638</v>
      </c>
      <c r="P26" s="6" t="s">
        <v>1638</v>
      </c>
      <c r="Q26" s="6" t="s">
        <v>1638</v>
      </c>
      <c r="R26" s="6" t="s">
        <v>1663</v>
      </c>
      <c r="S26" s="6" t="s">
        <v>2008</v>
      </c>
      <c r="T26" s="6" t="s">
        <v>1721</v>
      </c>
      <c r="U26" s="6" t="s">
        <v>2009</v>
      </c>
      <c r="V26" s="6" t="s">
        <v>1638</v>
      </c>
      <c r="W26" s="6" t="s">
        <v>35</v>
      </c>
      <c r="X26" s="7">
        <v>45933</v>
      </c>
      <c r="Y26">
        <v>0</v>
      </c>
      <c r="Z26" s="6" t="s">
        <v>1709</v>
      </c>
      <c r="AA26">
        <v>1</v>
      </c>
    </row>
    <row r="27" spans="1:27" x14ac:dyDescent="0.25">
      <c r="A27">
        <v>2293</v>
      </c>
      <c r="B27">
        <v>1116798906</v>
      </c>
      <c r="C27">
        <v>1</v>
      </c>
      <c r="D27" s="6" t="s">
        <v>2016</v>
      </c>
      <c r="E27" s="6" t="s">
        <v>2017</v>
      </c>
      <c r="F27">
        <v>3152222034</v>
      </c>
      <c r="G27" s="6" t="s">
        <v>2018</v>
      </c>
      <c r="H27" s="6" t="s">
        <v>1638</v>
      </c>
      <c r="I27" s="6" t="s">
        <v>1638</v>
      </c>
      <c r="J27" s="6" t="s">
        <v>1638</v>
      </c>
      <c r="K27" s="7">
        <v>34526</v>
      </c>
      <c r="L27" s="6" t="s">
        <v>1638</v>
      </c>
      <c r="M27">
        <v>1</v>
      </c>
      <c r="N27">
        <v>2</v>
      </c>
      <c r="O27" s="6" t="s">
        <v>1638</v>
      </c>
      <c r="P27" s="6" t="s">
        <v>1638</v>
      </c>
      <c r="Q27" s="6" t="s">
        <v>1638</v>
      </c>
      <c r="R27" s="6" t="s">
        <v>1638</v>
      </c>
      <c r="S27" s="6" t="s">
        <v>1638</v>
      </c>
      <c r="T27" s="6" t="s">
        <v>1638</v>
      </c>
      <c r="U27" s="6" t="s">
        <v>1638</v>
      </c>
      <c r="V27" s="6" t="s">
        <v>1638</v>
      </c>
      <c r="W27" s="6" t="s">
        <v>1640</v>
      </c>
      <c r="X27" s="7">
        <v>45933</v>
      </c>
      <c r="Y27">
        <v>0</v>
      </c>
      <c r="Z27" s="6" t="s">
        <v>1638</v>
      </c>
      <c r="AA27">
        <v>1</v>
      </c>
    </row>
    <row r="28" spans="1:27" x14ac:dyDescent="0.25">
      <c r="A28">
        <v>2298</v>
      </c>
      <c r="B28">
        <v>1093590952</v>
      </c>
      <c r="C28">
        <v>1</v>
      </c>
      <c r="D28" s="6" t="s">
        <v>2026</v>
      </c>
      <c r="E28" s="6" t="s">
        <v>2027</v>
      </c>
      <c r="F28">
        <v>3138034366</v>
      </c>
      <c r="G28" s="6" t="s">
        <v>2028</v>
      </c>
      <c r="H28" s="6" t="s">
        <v>1638</v>
      </c>
      <c r="I28" s="6" t="s">
        <v>2029</v>
      </c>
      <c r="J28" s="6" t="s">
        <v>1638</v>
      </c>
      <c r="K28" s="7">
        <v>38456</v>
      </c>
      <c r="L28" s="6" t="s">
        <v>1638</v>
      </c>
      <c r="M28">
        <v>1</v>
      </c>
      <c r="N28">
        <v>4</v>
      </c>
      <c r="O28" s="6" t="s">
        <v>1638</v>
      </c>
      <c r="P28" s="6" t="s">
        <v>1638</v>
      </c>
      <c r="Q28" s="6" t="s">
        <v>1638</v>
      </c>
      <c r="R28" s="6" t="s">
        <v>1663</v>
      </c>
      <c r="S28" s="6" t="s">
        <v>2030</v>
      </c>
      <c r="T28" s="6" t="s">
        <v>1721</v>
      </c>
      <c r="U28" s="6" t="s">
        <v>2031</v>
      </c>
      <c r="V28" s="6" t="s">
        <v>1638</v>
      </c>
      <c r="W28" s="6" t="s">
        <v>35</v>
      </c>
      <c r="X28" s="7">
        <v>45935</v>
      </c>
      <c r="Y28">
        <v>0</v>
      </c>
      <c r="Z28" s="6" t="s">
        <v>1709</v>
      </c>
      <c r="AA28">
        <v>19</v>
      </c>
    </row>
    <row r="29" spans="1:27" x14ac:dyDescent="0.25">
      <c r="A29">
        <v>2299</v>
      </c>
      <c r="B29">
        <v>1090393647</v>
      </c>
      <c r="C29">
        <v>1</v>
      </c>
      <c r="D29" s="6" t="s">
        <v>2032</v>
      </c>
      <c r="E29" s="6" t="s">
        <v>2033</v>
      </c>
      <c r="F29">
        <v>3102388347</v>
      </c>
      <c r="G29" s="6" t="s">
        <v>2034</v>
      </c>
      <c r="H29" s="6" t="s">
        <v>1638</v>
      </c>
      <c r="I29" s="6" t="s">
        <v>2035</v>
      </c>
      <c r="J29" s="6" t="s">
        <v>1638</v>
      </c>
      <c r="K29" s="7">
        <v>32275</v>
      </c>
      <c r="L29" s="6" t="s">
        <v>1638</v>
      </c>
      <c r="M29">
        <v>2</v>
      </c>
      <c r="N29">
        <v>4</v>
      </c>
      <c r="O29" s="6" t="s">
        <v>1638</v>
      </c>
      <c r="P29" s="6" t="s">
        <v>1638</v>
      </c>
      <c r="Q29" s="6" t="s">
        <v>1638</v>
      </c>
      <c r="R29" s="6" t="s">
        <v>1663</v>
      </c>
      <c r="S29" s="6" t="s">
        <v>2036</v>
      </c>
      <c r="T29" s="6" t="s">
        <v>2037</v>
      </c>
      <c r="U29" s="6" t="s">
        <v>2038</v>
      </c>
      <c r="V29" s="6" t="s">
        <v>1638</v>
      </c>
      <c r="W29" s="6" t="s">
        <v>35</v>
      </c>
      <c r="X29" s="7">
        <v>45935</v>
      </c>
      <c r="Y29">
        <v>0</v>
      </c>
      <c r="Z29" s="6" t="s">
        <v>1709</v>
      </c>
      <c r="AA29">
        <v>19</v>
      </c>
    </row>
    <row r="30" spans="1:27" x14ac:dyDescent="0.25">
      <c r="A30">
        <v>2300</v>
      </c>
      <c r="B30">
        <v>1005051293</v>
      </c>
      <c r="C30">
        <v>1</v>
      </c>
      <c r="D30" s="6" t="s">
        <v>2041</v>
      </c>
      <c r="E30" s="6" t="s">
        <v>2042</v>
      </c>
      <c r="F30">
        <v>3133119819</v>
      </c>
      <c r="G30" s="6" t="s">
        <v>2043</v>
      </c>
      <c r="H30" s="6" t="s">
        <v>1638</v>
      </c>
      <c r="I30" s="6" t="s">
        <v>2044</v>
      </c>
      <c r="J30" s="6" t="s">
        <v>1638</v>
      </c>
      <c r="K30" s="7">
        <v>36582</v>
      </c>
      <c r="L30" s="6" t="s">
        <v>1638</v>
      </c>
      <c r="M30">
        <v>2</v>
      </c>
      <c r="N30">
        <v>4</v>
      </c>
      <c r="O30" s="6" t="s">
        <v>1638</v>
      </c>
      <c r="P30" s="6" t="s">
        <v>1638</v>
      </c>
      <c r="Q30" s="6" t="s">
        <v>1638</v>
      </c>
      <c r="R30" s="6" t="s">
        <v>1663</v>
      </c>
      <c r="S30" s="6" t="s">
        <v>2045</v>
      </c>
      <c r="T30" s="6" t="s">
        <v>2046</v>
      </c>
      <c r="U30" s="6" t="s">
        <v>2047</v>
      </c>
      <c r="V30" s="6" t="s">
        <v>1638</v>
      </c>
      <c r="W30" s="6" t="s">
        <v>35</v>
      </c>
      <c r="X30" s="7">
        <v>45935</v>
      </c>
      <c r="Y30">
        <v>0</v>
      </c>
      <c r="Z30" s="6" t="s">
        <v>1709</v>
      </c>
      <c r="AA30">
        <v>18</v>
      </c>
    </row>
    <row r="31" spans="1:27" x14ac:dyDescent="0.25">
      <c r="A31">
        <v>2176</v>
      </c>
      <c r="B31">
        <v>1005372165</v>
      </c>
      <c r="C31">
        <v>1</v>
      </c>
      <c r="D31" s="6" t="s">
        <v>1702</v>
      </c>
      <c r="E31" s="6" t="s">
        <v>1703</v>
      </c>
      <c r="F31">
        <v>3124778011</v>
      </c>
      <c r="G31" s="6" t="s">
        <v>1704</v>
      </c>
      <c r="H31" s="6" t="s">
        <v>1638</v>
      </c>
      <c r="I31" s="6" t="s">
        <v>1705</v>
      </c>
      <c r="J31" s="6" t="s">
        <v>1684</v>
      </c>
      <c r="K31" s="7">
        <v>37020</v>
      </c>
      <c r="L31" s="6" t="s">
        <v>1638</v>
      </c>
      <c r="M31">
        <v>2</v>
      </c>
      <c r="N31">
        <v>3</v>
      </c>
      <c r="O31" s="6" t="s">
        <v>1638</v>
      </c>
      <c r="P31" s="6" t="s">
        <v>1638</v>
      </c>
      <c r="Q31" s="6" t="s">
        <v>1638</v>
      </c>
      <c r="R31" s="6" t="s">
        <v>1663</v>
      </c>
      <c r="S31" s="6" t="s">
        <v>1706</v>
      </c>
      <c r="T31" s="6" t="s">
        <v>1707</v>
      </c>
      <c r="U31" s="6" t="s">
        <v>1708</v>
      </c>
      <c r="V31" s="6" t="s">
        <v>1638</v>
      </c>
      <c r="W31" s="6" t="s">
        <v>35</v>
      </c>
      <c r="X31" s="7">
        <v>45921</v>
      </c>
      <c r="Y31">
        <v>0</v>
      </c>
      <c r="Z31" s="6" t="s">
        <v>1709</v>
      </c>
      <c r="AA31">
        <v>1</v>
      </c>
    </row>
    <row r="32" spans="1:27" x14ac:dyDescent="0.25">
      <c r="A32">
        <v>2305</v>
      </c>
      <c r="B32">
        <v>1005106523</v>
      </c>
      <c r="C32">
        <v>1</v>
      </c>
      <c r="D32" s="6" t="s">
        <v>2050</v>
      </c>
      <c r="E32" s="6" t="s">
        <v>2051</v>
      </c>
      <c r="F32">
        <v>3193334006</v>
      </c>
      <c r="G32" s="6" t="s">
        <v>2052</v>
      </c>
      <c r="H32" s="6" t="s">
        <v>1638</v>
      </c>
      <c r="I32" s="6" t="s">
        <v>2053</v>
      </c>
      <c r="J32" s="6" t="s">
        <v>1638</v>
      </c>
      <c r="K32" s="7">
        <v>37401</v>
      </c>
      <c r="L32" s="6" t="s">
        <v>1638</v>
      </c>
      <c r="M32">
        <v>2</v>
      </c>
      <c r="N32">
        <v>10</v>
      </c>
      <c r="O32" s="6" t="s">
        <v>1638</v>
      </c>
      <c r="P32" s="6" t="s">
        <v>1638</v>
      </c>
      <c r="Q32" s="6" t="s">
        <v>1638</v>
      </c>
      <c r="R32" s="6" t="s">
        <v>1848</v>
      </c>
      <c r="S32" s="6" t="s">
        <v>2054</v>
      </c>
      <c r="T32" s="6" t="s">
        <v>1721</v>
      </c>
      <c r="U32" s="6" t="s">
        <v>2055</v>
      </c>
      <c r="V32" s="6" t="s">
        <v>1638</v>
      </c>
      <c r="W32" s="6" t="s">
        <v>35</v>
      </c>
      <c r="X32" s="7">
        <v>45936</v>
      </c>
      <c r="Y32">
        <v>0</v>
      </c>
      <c r="Z32" s="6" t="s">
        <v>1709</v>
      </c>
      <c r="AA32">
        <v>19</v>
      </c>
    </row>
    <row r="33" spans="1:27" x14ac:dyDescent="0.25">
      <c r="A33">
        <v>2310</v>
      </c>
      <c r="B33">
        <v>1098666487</v>
      </c>
      <c r="C33">
        <v>1</v>
      </c>
      <c r="D33" s="6" t="s">
        <v>2065</v>
      </c>
      <c r="E33" s="6" t="s">
        <v>2066</v>
      </c>
      <c r="F33">
        <v>3224670610</v>
      </c>
      <c r="G33" s="6" t="s">
        <v>2067</v>
      </c>
      <c r="H33" s="6" t="s">
        <v>1638</v>
      </c>
      <c r="I33" s="6" t="s">
        <v>2068</v>
      </c>
      <c r="J33" s="6" t="s">
        <v>1638</v>
      </c>
      <c r="K33" s="7">
        <v>32358</v>
      </c>
      <c r="L33" s="6" t="s">
        <v>1638</v>
      </c>
      <c r="M33">
        <v>2</v>
      </c>
      <c r="N33">
        <v>3</v>
      </c>
      <c r="O33" s="6" t="s">
        <v>1638</v>
      </c>
      <c r="P33" s="6" t="s">
        <v>1638</v>
      </c>
      <c r="Q33" s="6" t="s">
        <v>1638</v>
      </c>
      <c r="R33" s="6" t="s">
        <v>1639</v>
      </c>
      <c r="S33" s="6" t="s">
        <v>2069</v>
      </c>
      <c r="T33" s="6" t="s">
        <v>1721</v>
      </c>
      <c r="U33" s="6" t="s">
        <v>2070</v>
      </c>
      <c r="V33" s="6" t="s">
        <v>1638</v>
      </c>
      <c r="W33" s="6" t="s">
        <v>35</v>
      </c>
      <c r="X33" s="7">
        <v>45936</v>
      </c>
      <c r="Y33">
        <v>0</v>
      </c>
      <c r="Z33" s="6" t="s">
        <v>1709</v>
      </c>
      <c r="AA33">
        <v>19</v>
      </c>
    </row>
    <row r="34" spans="1:27" x14ac:dyDescent="0.25">
      <c r="A34">
        <v>2311</v>
      </c>
      <c r="B34">
        <v>1097109207</v>
      </c>
      <c r="C34">
        <v>3</v>
      </c>
      <c r="D34" s="6" t="s">
        <v>1636</v>
      </c>
      <c r="E34" s="6" t="s">
        <v>2071</v>
      </c>
      <c r="F34">
        <v>3046481368</v>
      </c>
      <c r="G34" s="6" t="s">
        <v>2072</v>
      </c>
      <c r="H34" s="6" t="s">
        <v>1638</v>
      </c>
      <c r="I34" s="6" t="s">
        <v>2073</v>
      </c>
      <c r="J34" s="6" t="s">
        <v>1638</v>
      </c>
      <c r="K34" s="7">
        <v>40379</v>
      </c>
      <c r="L34" s="6" t="s">
        <v>1638</v>
      </c>
      <c r="M34">
        <v>1</v>
      </c>
      <c r="N34">
        <v>5</v>
      </c>
      <c r="O34" s="6" t="s">
        <v>1638</v>
      </c>
      <c r="P34" s="6" t="s">
        <v>1638</v>
      </c>
      <c r="Q34" s="6" t="s">
        <v>1638</v>
      </c>
      <c r="R34" s="6" t="s">
        <v>1695</v>
      </c>
      <c r="S34" s="6" t="s">
        <v>2074</v>
      </c>
      <c r="T34" s="6" t="s">
        <v>1721</v>
      </c>
      <c r="U34" s="6" t="s">
        <v>2075</v>
      </c>
      <c r="V34" s="6" t="s">
        <v>1638</v>
      </c>
      <c r="W34" s="6" t="s">
        <v>35</v>
      </c>
      <c r="X34" s="7">
        <v>45936</v>
      </c>
      <c r="Y34">
        <v>0</v>
      </c>
      <c r="Z34" s="6" t="s">
        <v>1709</v>
      </c>
      <c r="AA34">
        <v>1</v>
      </c>
    </row>
    <row r="35" spans="1:27" x14ac:dyDescent="0.25">
      <c r="A35">
        <v>2312</v>
      </c>
      <c r="B35">
        <v>1097912477</v>
      </c>
      <c r="C35">
        <v>3</v>
      </c>
      <c r="D35" s="6" t="s">
        <v>2076</v>
      </c>
      <c r="E35" s="6" t="s">
        <v>2077</v>
      </c>
      <c r="F35">
        <v>3012814637</v>
      </c>
      <c r="G35" s="6" t="s">
        <v>2078</v>
      </c>
      <c r="H35" s="6" t="s">
        <v>1638</v>
      </c>
      <c r="I35" s="6" t="s">
        <v>2079</v>
      </c>
      <c r="J35" s="6" t="s">
        <v>1638</v>
      </c>
      <c r="K35" s="7">
        <v>39421</v>
      </c>
      <c r="L35" s="6" t="s">
        <v>1638</v>
      </c>
      <c r="M35">
        <v>1</v>
      </c>
      <c r="N35">
        <v>5</v>
      </c>
      <c r="O35" s="6" t="s">
        <v>1638</v>
      </c>
      <c r="P35" s="6" t="s">
        <v>1638</v>
      </c>
      <c r="Q35" s="6" t="s">
        <v>1638</v>
      </c>
      <c r="R35" s="6" t="s">
        <v>1848</v>
      </c>
      <c r="S35" s="6" t="s">
        <v>2080</v>
      </c>
      <c r="T35" s="6" t="s">
        <v>1721</v>
      </c>
      <c r="U35" s="6" t="s">
        <v>2081</v>
      </c>
      <c r="V35" s="6" t="s">
        <v>1638</v>
      </c>
      <c r="W35" s="6" t="s">
        <v>35</v>
      </c>
      <c r="X35" s="7">
        <v>45936</v>
      </c>
      <c r="Y35">
        <v>0</v>
      </c>
      <c r="Z35" s="6" t="s">
        <v>1709</v>
      </c>
      <c r="AA35">
        <v>1</v>
      </c>
    </row>
    <row r="36" spans="1:27" x14ac:dyDescent="0.25">
      <c r="A36">
        <v>2315</v>
      </c>
      <c r="B36">
        <v>1098817468</v>
      </c>
      <c r="C36">
        <v>1</v>
      </c>
      <c r="D36" s="6" t="s">
        <v>2082</v>
      </c>
      <c r="E36" s="6" t="s">
        <v>2083</v>
      </c>
      <c r="F36">
        <v>3006938763</v>
      </c>
      <c r="G36" s="6" t="s">
        <v>2084</v>
      </c>
      <c r="H36" s="6" t="s">
        <v>1638</v>
      </c>
      <c r="I36" s="6" t="s">
        <v>1638</v>
      </c>
      <c r="J36" s="6" t="s">
        <v>1638</v>
      </c>
      <c r="K36" s="7">
        <v>36242</v>
      </c>
      <c r="L36" s="6" t="s">
        <v>1638</v>
      </c>
      <c r="M36">
        <v>2</v>
      </c>
      <c r="N36">
        <v>3</v>
      </c>
      <c r="O36" s="6" t="s">
        <v>1638</v>
      </c>
      <c r="P36" s="6" t="s">
        <v>1638</v>
      </c>
      <c r="Q36" s="6" t="s">
        <v>1638</v>
      </c>
      <c r="R36" s="6" t="s">
        <v>1638</v>
      </c>
      <c r="S36" s="6" t="s">
        <v>1638</v>
      </c>
      <c r="T36" s="6" t="s">
        <v>1638</v>
      </c>
      <c r="U36" s="6" t="s">
        <v>1638</v>
      </c>
      <c r="V36" s="6" t="s">
        <v>1638</v>
      </c>
      <c r="W36" s="6" t="s">
        <v>1640</v>
      </c>
      <c r="X36" s="7">
        <v>45936</v>
      </c>
      <c r="Y36">
        <v>0</v>
      </c>
      <c r="Z36" s="6" t="s">
        <v>1638</v>
      </c>
      <c r="AA36">
        <v>19</v>
      </c>
    </row>
    <row r="37" spans="1:27" x14ac:dyDescent="0.25">
      <c r="A37">
        <v>2316</v>
      </c>
      <c r="B37">
        <v>1010842283</v>
      </c>
      <c r="C37">
        <v>3</v>
      </c>
      <c r="D37" s="6" t="s">
        <v>2085</v>
      </c>
      <c r="E37" s="6" t="s">
        <v>2086</v>
      </c>
      <c r="F37">
        <v>3228904885</v>
      </c>
      <c r="G37" s="6" t="s">
        <v>2087</v>
      </c>
      <c r="H37" s="6" t="s">
        <v>1638</v>
      </c>
      <c r="I37" s="6" t="s">
        <v>2088</v>
      </c>
      <c r="J37" s="6" t="s">
        <v>1638</v>
      </c>
      <c r="K37" s="7">
        <v>40368</v>
      </c>
      <c r="L37" s="6" t="s">
        <v>1638</v>
      </c>
      <c r="M37">
        <v>1</v>
      </c>
      <c r="N37">
        <v>4</v>
      </c>
      <c r="O37" s="6" t="s">
        <v>1638</v>
      </c>
      <c r="P37" s="6" t="s">
        <v>1638</v>
      </c>
      <c r="Q37" s="6" t="s">
        <v>1638</v>
      </c>
      <c r="R37" s="6" t="s">
        <v>1663</v>
      </c>
      <c r="S37" s="6" t="s">
        <v>2089</v>
      </c>
      <c r="T37" s="6" t="s">
        <v>1721</v>
      </c>
      <c r="U37" s="6" t="s">
        <v>2090</v>
      </c>
      <c r="V37" s="6" t="s">
        <v>1638</v>
      </c>
      <c r="W37" s="6" t="s">
        <v>35</v>
      </c>
      <c r="X37" s="7">
        <v>45936</v>
      </c>
      <c r="Y37">
        <v>0</v>
      </c>
      <c r="Z37" s="6" t="s">
        <v>1709</v>
      </c>
      <c r="AA37">
        <v>1</v>
      </c>
    </row>
    <row r="38" spans="1:27" x14ac:dyDescent="0.25">
      <c r="A38">
        <v>2320</v>
      </c>
      <c r="B38">
        <v>1097490380</v>
      </c>
      <c r="C38">
        <v>1</v>
      </c>
      <c r="D38" s="6" t="s">
        <v>2097</v>
      </c>
      <c r="E38" s="6" t="s">
        <v>2098</v>
      </c>
      <c r="F38">
        <v>3174808163</v>
      </c>
      <c r="G38" s="6" t="s">
        <v>2099</v>
      </c>
      <c r="H38" s="6" t="s">
        <v>1638</v>
      </c>
      <c r="I38" s="6" t="s">
        <v>1638</v>
      </c>
      <c r="J38" s="6" t="s">
        <v>1638</v>
      </c>
      <c r="K38" s="7">
        <v>38367</v>
      </c>
      <c r="L38" s="6" t="s">
        <v>1638</v>
      </c>
      <c r="M38">
        <v>1</v>
      </c>
      <c r="N38">
        <v>2</v>
      </c>
      <c r="O38" s="6" t="s">
        <v>1638</v>
      </c>
      <c r="P38" s="6" t="s">
        <v>1638</v>
      </c>
      <c r="Q38" s="6" t="s">
        <v>1638</v>
      </c>
      <c r="R38" s="6" t="s">
        <v>1638</v>
      </c>
      <c r="S38" s="6" t="s">
        <v>1638</v>
      </c>
      <c r="T38" s="6" t="s">
        <v>1638</v>
      </c>
      <c r="U38" s="6" t="s">
        <v>1638</v>
      </c>
      <c r="V38" s="6" t="s">
        <v>1638</v>
      </c>
      <c r="W38" s="6" t="s">
        <v>1640</v>
      </c>
      <c r="X38" s="7">
        <v>45936</v>
      </c>
      <c r="Y38">
        <v>0</v>
      </c>
      <c r="Z38" s="6" t="s">
        <v>1638</v>
      </c>
      <c r="AA38">
        <v>19</v>
      </c>
    </row>
    <row r="39" spans="1:27" x14ac:dyDescent="0.25">
      <c r="A39">
        <v>2321</v>
      </c>
      <c r="B39">
        <v>1005288015</v>
      </c>
      <c r="C39">
        <v>1</v>
      </c>
      <c r="D39" s="6" t="s">
        <v>2100</v>
      </c>
      <c r="E39" s="6" t="s">
        <v>2101</v>
      </c>
      <c r="F39">
        <v>3173016819</v>
      </c>
      <c r="G39" s="6" t="s">
        <v>2102</v>
      </c>
      <c r="H39" s="6" t="s">
        <v>1638</v>
      </c>
      <c r="I39" s="6" t="s">
        <v>2103</v>
      </c>
      <c r="J39" s="6" t="s">
        <v>1638</v>
      </c>
      <c r="K39" s="7">
        <v>37068</v>
      </c>
      <c r="L39" s="6" t="s">
        <v>1638</v>
      </c>
      <c r="M39">
        <v>2</v>
      </c>
      <c r="N39">
        <v>5</v>
      </c>
      <c r="O39" s="6" t="s">
        <v>1638</v>
      </c>
      <c r="P39" s="6" t="s">
        <v>1638</v>
      </c>
      <c r="Q39" s="6" t="s">
        <v>1638</v>
      </c>
      <c r="R39" s="6" t="s">
        <v>1815</v>
      </c>
      <c r="S39" s="6" t="s">
        <v>2104</v>
      </c>
      <c r="T39" s="6" t="s">
        <v>1842</v>
      </c>
      <c r="U39" s="6" t="s">
        <v>2105</v>
      </c>
      <c r="V39" s="6" t="s">
        <v>1638</v>
      </c>
      <c r="W39" s="6" t="s">
        <v>35</v>
      </c>
      <c r="X39" s="7">
        <v>45936</v>
      </c>
      <c r="Y39">
        <v>0</v>
      </c>
      <c r="Z39" s="6" t="s">
        <v>2106</v>
      </c>
      <c r="AA39">
        <v>19</v>
      </c>
    </row>
    <row r="40" spans="1:27" x14ac:dyDescent="0.25">
      <c r="A40">
        <v>2322</v>
      </c>
      <c r="B40">
        <v>1005066160</v>
      </c>
      <c r="C40">
        <v>1</v>
      </c>
      <c r="D40" s="6" t="s">
        <v>2107</v>
      </c>
      <c r="E40" s="6" t="s">
        <v>2108</v>
      </c>
      <c r="F40">
        <v>3212512443</v>
      </c>
      <c r="G40" s="6" t="s">
        <v>2109</v>
      </c>
      <c r="H40" s="6" t="s">
        <v>1638</v>
      </c>
      <c r="I40" s="6" t="s">
        <v>1638</v>
      </c>
      <c r="J40" s="6" t="s">
        <v>1638</v>
      </c>
      <c r="K40" s="7">
        <v>36732</v>
      </c>
      <c r="L40" s="6" t="s">
        <v>1638</v>
      </c>
      <c r="M40">
        <v>1</v>
      </c>
      <c r="N40">
        <v>6</v>
      </c>
      <c r="O40" s="6" t="s">
        <v>1638</v>
      </c>
      <c r="P40" s="6" t="s">
        <v>1638</v>
      </c>
      <c r="Q40" s="6" t="s">
        <v>1638</v>
      </c>
      <c r="R40" s="6" t="s">
        <v>1638</v>
      </c>
      <c r="S40" s="6" t="s">
        <v>1638</v>
      </c>
      <c r="T40" s="6" t="s">
        <v>1638</v>
      </c>
      <c r="U40" s="6" t="s">
        <v>1638</v>
      </c>
      <c r="V40" s="6" t="s">
        <v>1638</v>
      </c>
      <c r="W40" s="6" t="s">
        <v>1640</v>
      </c>
      <c r="X40" s="7">
        <v>45936</v>
      </c>
      <c r="Y40">
        <v>0</v>
      </c>
      <c r="Z40" s="6" t="s">
        <v>1638</v>
      </c>
      <c r="AA40">
        <v>18</v>
      </c>
    </row>
    <row r="41" spans="1:27" x14ac:dyDescent="0.25">
      <c r="A41">
        <v>2330</v>
      </c>
      <c r="B41">
        <v>1093592999</v>
      </c>
      <c r="C41">
        <v>1</v>
      </c>
      <c r="D41" s="6" t="s">
        <v>2122</v>
      </c>
      <c r="E41" s="6" t="s">
        <v>2123</v>
      </c>
      <c r="F41">
        <v>3145824033</v>
      </c>
      <c r="G41" s="6" t="s">
        <v>2124</v>
      </c>
      <c r="H41" s="6" t="s">
        <v>1638</v>
      </c>
      <c r="I41" s="6" t="s">
        <v>1638</v>
      </c>
      <c r="J41" s="6" t="s">
        <v>1638</v>
      </c>
      <c r="K41" s="7">
        <v>38809</v>
      </c>
      <c r="L41" s="6" t="s">
        <v>1638</v>
      </c>
      <c r="M41">
        <v>1</v>
      </c>
      <c r="N41">
        <v>6</v>
      </c>
      <c r="O41" s="6" t="s">
        <v>1638</v>
      </c>
      <c r="P41" s="6" t="s">
        <v>1638</v>
      </c>
      <c r="Q41" s="6" t="s">
        <v>1638</v>
      </c>
      <c r="R41" s="6" t="s">
        <v>1638</v>
      </c>
      <c r="S41" s="6" t="s">
        <v>1638</v>
      </c>
      <c r="T41" s="6" t="s">
        <v>1638</v>
      </c>
      <c r="U41" s="6" t="s">
        <v>1638</v>
      </c>
      <c r="V41" s="6" t="s">
        <v>1638</v>
      </c>
      <c r="W41" s="6" t="s">
        <v>1640</v>
      </c>
      <c r="X41" s="7">
        <v>45937</v>
      </c>
      <c r="Y41">
        <v>0</v>
      </c>
      <c r="Z41" s="6" t="s">
        <v>1638</v>
      </c>
      <c r="AA41">
        <v>19</v>
      </c>
    </row>
    <row r="42" spans="1:27" x14ac:dyDescent="0.25">
      <c r="A42">
        <v>2335</v>
      </c>
      <c r="B42">
        <v>7142068</v>
      </c>
      <c r="C42">
        <v>4</v>
      </c>
      <c r="D42" s="6" t="s">
        <v>2136</v>
      </c>
      <c r="E42" s="6" t="s">
        <v>2137</v>
      </c>
      <c r="F42">
        <v>8492817283</v>
      </c>
      <c r="G42" s="6" t="s">
        <v>2138</v>
      </c>
      <c r="H42" s="6" t="s">
        <v>1638</v>
      </c>
      <c r="I42" s="6" t="s">
        <v>2139</v>
      </c>
      <c r="J42" s="6" t="s">
        <v>1638</v>
      </c>
      <c r="K42" s="7">
        <v>28300</v>
      </c>
      <c r="L42" s="6" t="s">
        <v>1638</v>
      </c>
      <c r="M42">
        <v>1</v>
      </c>
      <c r="N42">
        <v>2</v>
      </c>
      <c r="O42" s="6" t="s">
        <v>1638</v>
      </c>
      <c r="P42" s="6" t="s">
        <v>1638</v>
      </c>
      <c r="Q42" s="6" t="s">
        <v>1638</v>
      </c>
      <c r="R42" s="6" t="s">
        <v>2140</v>
      </c>
      <c r="S42" s="6" t="s">
        <v>2141</v>
      </c>
      <c r="T42" s="6" t="s">
        <v>1721</v>
      </c>
      <c r="U42" s="6" t="s">
        <v>2142</v>
      </c>
      <c r="V42" s="6" t="s">
        <v>1638</v>
      </c>
      <c r="W42" s="6" t="s">
        <v>35</v>
      </c>
      <c r="X42" s="7">
        <v>45937</v>
      </c>
      <c r="Y42">
        <v>0</v>
      </c>
      <c r="Z42" s="6" t="s">
        <v>1709</v>
      </c>
      <c r="AA42">
        <v>19</v>
      </c>
    </row>
    <row r="43" spans="1:27" x14ac:dyDescent="0.25">
      <c r="A43">
        <v>2338</v>
      </c>
      <c r="B43">
        <v>1090507813</v>
      </c>
      <c r="C43">
        <v>1</v>
      </c>
      <c r="D43" s="6" t="s">
        <v>2143</v>
      </c>
      <c r="E43" s="6" t="s">
        <v>2144</v>
      </c>
      <c r="F43">
        <v>3105879493</v>
      </c>
      <c r="G43" s="6" t="s">
        <v>2145</v>
      </c>
      <c r="H43" s="6" t="s">
        <v>1638</v>
      </c>
      <c r="I43" s="6" t="s">
        <v>1638</v>
      </c>
      <c r="J43" s="6" t="s">
        <v>1638</v>
      </c>
      <c r="K43" s="7">
        <v>35601</v>
      </c>
      <c r="L43" s="6" t="s">
        <v>1638</v>
      </c>
      <c r="M43">
        <v>1</v>
      </c>
      <c r="N43">
        <v>8</v>
      </c>
      <c r="O43" s="6" t="s">
        <v>1638</v>
      </c>
      <c r="P43" s="6" t="s">
        <v>1638</v>
      </c>
      <c r="Q43" s="6" t="s">
        <v>1638</v>
      </c>
      <c r="R43" s="6" t="s">
        <v>1638</v>
      </c>
      <c r="S43" s="6" t="s">
        <v>1638</v>
      </c>
      <c r="T43" s="6" t="s">
        <v>1638</v>
      </c>
      <c r="U43" s="6" t="s">
        <v>1638</v>
      </c>
      <c r="V43" s="6" t="s">
        <v>1638</v>
      </c>
      <c r="W43" s="6" t="s">
        <v>1640</v>
      </c>
      <c r="X43" s="7">
        <v>45938</v>
      </c>
      <c r="Y43">
        <v>0</v>
      </c>
      <c r="Z43" s="6" t="s">
        <v>1638</v>
      </c>
      <c r="AA43">
        <v>1</v>
      </c>
    </row>
    <row r="44" spans="1:27" x14ac:dyDescent="0.25">
      <c r="A44">
        <v>2345</v>
      </c>
      <c r="B44">
        <v>1090506303</v>
      </c>
      <c r="C44">
        <v>1</v>
      </c>
      <c r="D44" s="6" t="s">
        <v>2154</v>
      </c>
      <c r="E44" s="6" t="s">
        <v>2155</v>
      </c>
      <c r="F44">
        <v>3151177779</v>
      </c>
      <c r="G44" s="6" t="s">
        <v>2156</v>
      </c>
      <c r="H44" s="6" t="s">
        <v>1638</v>
      </c>
      <c r="I44" s="6" t="s">
        <v>1638</v>
      </c>
      <c r="J44" s="6" t="s">
        <v>1638</v>
      </c>
      <c r="K44" s="7">
        <v>35588</v>
      </c>
      <c r="L44" s="6" t="s">
        <v>1638</v>
      </c>
      <c r="M44">
        <v>1</v>
      </c>
      <c r="N44">
        <v>4</v>
      </c>
      <c r="O44" s="6" t="s">
        <v>1638</v>
      </c>
      <c r="P44" s="6" t="s">
        <v>1638</v>
      </c>
      <c r="Q44" s="6" t="s">
        <v>1638</v>
      </c>
      <c r="R44" s="6" t="s">
        <v>1638</v>
      </c>
      <c r="S44" s="6" t="s">
        <v>1638</v>
      </c>
      <c r="T44" s="6" t="s">
        <v>1638</v>
      </c>
      <c r="U44" s="6" t="s">
        <v>1638</v>
      </c>
      <c r="V44" s="6" t="s">
        <v>1638</v>
      </c>
      <c r="W44" s="6" t="s">
        <v>1640</v>
      </c>
      <c r="X44" s="7">
        <v>45939</v>
      </c>
      <c r="Y44">
        <v>0</v>
      </c>
      <c r="Z44" s="6" t="s">
        <v>1638</v>
      </c>
      <c r="AA44">
        <v>18</v>
      </c>
    </row>
    <row r="45" spans="1:27" x14ac:dyDescent="0.25">
      <c r="A45">
        <v>2347</v>
      </c>
      <c r="B45">
        <v>1102356101</v>
      </c>
      <c r="C45">
        <v>1</v>
      </c>
      <c r="D45" s="6" t="s">
        <v>2157</v>
      </c>
      <c r="E45" s="6" t="s">
        <v>2158</v>
      </c>
      <c r="F45">
        <v>3017826679</v>
      </c>
      <c r="G45" s="6" t="s">
        <v>2159</v>
      </c>
      <c r="H45" s="6" t="s">
        <v>1638</v>
      </c>
      <c r="I45" s="6" t="s">
        <v>2160</v>
      </c>
      <c r="J45" s="6" t="s">
        <v>1638</v>
      </c>
      <c r="K45" s="7">
        <v>37731</v>
      </c>
      <c r="L45" s="6" t="s">
        <v>1638</v>
      </c>
      <c r="M45">
        <v>2</v>
      </c>
      <c r="N45">
        <v>5</v>
      </c>
      <c r="O45" s="6" t="s">
        <v>1638</v>
      </c>
      <c r="P45" s="6" t="s">
        <v>1638</v>
      </c>
      <c r="Q45" s="6" t="s">
        <v>1638</v>
      </c>
      <c r="R45" s="6" t="s">
        <v>1663</v>
      </c>
      <c r="S45" s="6" t="s">
        <v>2161</v>
      </c>
      <c r="T45" s="6" t="s">
        <v>1721</v>
      </c>
      <c r="U45" s="6" t="s">
        <v>2162</v>
      </c>
      <c r="V45" s="6" t="s">
        <v>1638</v>
      </c>
      <c r="W45" s="6" t="s">
        <v>35</v>
      </c>
      <c r="X45" s="7">
        <v>45939</v>
      </c>
      <c r="Y45">
        <v>0</v>
      </c>
      <c r="Z45" s="6" t="s">
        <v>1709</v>
      </c>
      <c r="AA45">
        <v>19</v>
      </c>
    </row>
    <row r="46" spans="1:27" x14ac:dyDescent="0.25">
      <c r="A46">
        <v>2348</v>
      </c>
      <c r="B46">
        <v>1005543183</v>
      </c>
      <c r="C46">
        <v>1</v>
      </c>
      <c r="D46" s="6" t="s">
        <v>2163</v>
      </c>
      <c r="E46" s="6" t="s">
        <v>2164</v>
      </c>
      <c r="F46">
        <v>3158712434</v>
      </c>
      <c r="G46" s="6" t="s">
        <v>2165</v>
      </c>
      <c r="H46" s="6" t="s">
        <v>1638</v>
      </c>
      <c r="I46" s="6" t="s">
        <v>2166</v>
      </c>
      <c r="J46" s="6" t="s">
        <v>1638</v>
      </c>
      <c r="K46" s="7">
        <v>36772</v>
      </c>
      <c r="L46" s="6" t="s">
        <v>1638</v>
      </c>
      <c r="M46">
        <v>2</v>
      </c>
      <c r="N46">
        <v>5</v>
      </c>
      <c r="O46" s="6" t="s">
        <v>1638</v>
      </c>
      <c r="P46" s="6" t="s">
        <v>1638</v>
      </c>
      <c r="Q46" s="6" t="s">
        <v>1638</v>
      </c>
      <c r="R46" s="6" t="s">
        <v>1663</v>
      </c>
      <c r="S46" s="6" t="s">
        <v>2167</v>
      </c>
      <c r="T46" s="6" t="s">
        <v>1842</v>
      </c>
      <c r="U46" s="6" t="s">
        <v>2168</v>
      </c>
      <c r="V46" s="6" t="s">
        <v>1638</v>
      </c>
      <c r="W46" s="6" t="s">
        <v>35</v>
      </c>
      <c r="X46" s="7">
        <v>45939</v>
      </c>
      <c r="Y46">
        <v>0</v>
      </c>
      <c r="Z46" s="6" t="s">
        <v>1709</v>
      </c>
      <c r="AA46">
        <v>1</v>
      </c>
    </row>
    <row r="47" spans="1:27" x14ac:dyDescent="0.25">
      <c r="A47">
        <v>2357</v>
      </c>
      <c r="B47">
        <v>1093598744</v>
      </c>
      <c r="C47">
        <v>3</v>
      </c>
      <c r="D47" s="6" t="s">
        <v>2180</v>
      </c>
      <c r="E47" s="6" t="s">
        <v>2181</v>
      </c>
      <c r="F47">
        <v>3024278108</v>
      </c>
      <c r="G47" s="6" t="s">
        <v>2182</v>
      </c>
      <c r="H47" s="6" t="s">
        <v>1638</v>
      </c>
      <c r="I47" s="6" t="s">
        <v>2183</v>
      </c>
      <c r="J47" s="6" t="s">
        <v>1638</v>
      </c>
      <c r="K47" s="7">
        <v>40049</v>
      </c>
      <c r="L47" s="6" t="s">
        <v>1638</v>
      </c>
      <c r="M47">
        <v>2</v>
      </c>
      <c r="N47">
        <v>4</v>
      </c>
      <c r="O47" s="6" t="s">
        <v>1638</v>
      </c>
      <c r="P47" s="6" t="s">
        <v>1638</v>
      </c>
      <c r="Q47" s="6" t="s">
        <v>1638</v>
      </c>
      <c r="R47" s="6" t="s">
        <v>1639</v>
      </c>
      <c r="S47" s="6" t="s">
        <v>2184</v>
      </c>
      <c r="T47" s="6" t="s">
        <v>2185</v>
      </c>
      <c r="U47" s="6" t="s">
        <v>2186</v>
      </c>
      <c r="V47" s="6" t="s">
        <v>1638</v>
      </c>
      <c r="W47" s="6" t="s">
        <v>35</v>
      </c>
      <c r="X47" s="7">
        <v>45940</v>
      </c>
      <c r="Y47">
        <v>0</v>
      </c>
      <c r="Z47" s="6" t="s">
        <v>1709</v>
      </c>
      <c r="AA47">
        <v>1</v>
      </c>
    </row>
    <row r="48" spans="1:27" x14ac:dyDescent="0.25">
      <c r="A48">
        <v>2360</v>
      </c>
      <c r="B48">
        <v>1005058917</v>
      </c>
      <c r="C48">
        <v>1</v>
      </c>
      <c r="D48" s="6" t="s">
        <v>2189</v>
      </c>
      <c r="E48" s="6" t="s">
        <v>2190</v>
      </c>
      <c r="F48">
        <v>3232256477</v>
      </c>
      <c r="G48" s="6" t="s">
        <v>2191</v>
      </c>
      <c r="H48" s="6" t="s">
        <v>1638</v>
      </c>
      <c r="I48" s="6" t="s">
        <v>2192</v>
      </c>
      <c r="J48" s="6" t="s">
        <v>1638</v>
      </c>
      <c r="K48" s="7">
        <v>37212</v>
      </c>
      <c r="L48" s="6" t="s">
        <v>1638</v>
      </c>
      <c r="M48">
        <v>2</v>
      </c>
      <c r="N48">
        <v>6</v>
      </c>
      <c r="O48" s="6" t="s">
        <v>1638</v>
      </c>
      <c r="P48" s="6" t="s">
        <v>1638</v>
      </c>
      <c r="Q48" s="6" t="s">
        <v>1638</v>
      </c>
      <c r="R48" s="6" t="s">
        <v>1639</v>
      </c>
      <c r="S48" s="6" t="s">
        <v>2193</v>
      </c>
      <c r="T48" s="6" t="s">
        <v>1721</v>
      </c>
      <c r="U48" s="6" t="s">
        <v>2194</v>
      </c>
      <c r="V48" s="6" t="s">
        <v>1638</v>
      </c>
      <c r="W48" s="6" t="s">
        <v>35</v>
      </c>
      <c r="X48" s="7">
        <v>45940</v>
      </c>
      <c r="Y48">
        <v>0</v>
      </c>
      <c r="Z48" s="6" t="s">
        <v>1709</v>
      </c>
      <c r="AA48">
        <v>18</v>
      </c>
    </row>
    <row r="49" spans="1:27" x14ac:dyDescent="0.25">
      <c r="A49">
        <v>2361</v>
      </c>
      <c r="B49">
        <v>1095965745</v>
      </c>
      <c r="C49">
        <v>1</v>
      </c>
      <c r="D49" s="6" t="s">
        <v>2197</v>
      </c>
      <c r="E49" s="6" t="s">
        <v>2198</v>
      </c>
      <c r="F49">
        <v>3228205653</v>
      </c>
      <c r="G49" s="6" t="s">
        <v>2199</v>
      </c>
      <c r="H49" s="6" t="s">
        <v>1638</v>
      </c>
      <c r="I49" s="6" t="s">
        <v>1638</v>
      </c>
      <c r="J49" s="6" t="s">
        <v>1638</v>
      </c>
      <c r="K49" s="7">
        <v>37687</v>
      </c>
      <c r="L49" s="6" t="s">
        <v>1638</v>
      </c>
      <c r="M49">
        <v>1</v>
      </c>
      <c r="N49">
        <v>2</v>
      </c>
      <c r="O49" s="6" t="s">
        <v>1638</v>
      </c>
      <c r="P49" s="6" t="s">
        <v>1638</v>
      </c>
      <c r="Q49" s="6" t="s">
        <v>1638</v>
      </c>
      <c r="R49" s="6" t="s">
        <v>1638</v>
      </c>
      <c r="S49" s="6" t="s">
        <v>1638</v>
      </c>
      <c r="T49" s="6" t="s">
        <v>1638</v>
      </c>
      <c r="U49" s="6" t="s">
        <v>1638</v>
      </c>
      <c r="V49" s="6" t="s">
        <v>1638</v>
      </c>
      <c r="W49" s="6" t="s">
        <v>1640</v>
      </c>
      <c r="X49" s="7">
        <v>45940</v>
      </c>
      <c r="Y49">
        <v>0</v>
      </c>
      <c r="Z49" s="6" t="s">
        <v>1638</v>
      </c>
      <c r="AA49">
        <v>19</v>
      </c>
    </row>
    <row r="50" spans="1:27" x14ac:dyDescent="0.25">
      <c r="A50">
        <v>2369</v>
      </c>
      <c r="B50">
        <v>1099735873</v>
      </c>
      <c r="C50">
        <v>1</v>
      </c>
      <c r="D50" s="6" t="s">
        <v>1641</v>
      </c>
      <c r="E50" s="6" t="s">
        <v>2202</v>
      </c>
      <c r="F50">
        <v>3237972096</v>
      </c>
      <c r="G50" s="6" t="s">
        <v>2203</v>
      </c>
      <c r="H50" s="6" t="s">
        <v>1638</v>
      </c>
      <c r="I50" s="6" t="s">
        <v>2204</v>
      </c>
      <c r="J50" s="6" t="s">
        <v>1638</v>
      </c>
      <c r="K50" s="7">
        <v>38334</v>
      </c>
      <c r="L50" s="6" t="s">
        <v>1638</v>
      </c>
      <c r="M50">
        <v>2</v>
      </c>
      <c r="N50">
        <v>5</v>
      </c>
      <c r="O50" s="6" t="s">
        <v>1638</v>
      </c>
      <c r="P50" s="6" t="s">
        <v>1638</v>
      </c>
      <c r="Q50" s="6" t="s">
        <v>1638</v>
      </c>
      <c r="R50" s="6" t="s">
        <v>1663</v>
      </c>
      <c r="S50" s="6" t="s">
        <v>2205</v>
      </c>
      <c r="T50" s="6" t="s">
        <v>1707</v>
      </c>
      <c r="U50" s="6" t="s">
        <v>2206</v>
      </c>
      <c r="V50" s="6" t="s">
        <v>1638</v>
      </c>
      <c r="W50" s="6" t="s">
        <v>35</v>
      </c>
      <c r="X50" s="7">
        <v>45942</v>
      </c>
      <c r="Y50">
        <v>0</v>
      </c>
      <c r="Z50" s="6" t="s">
        <v>1709</v>
      </c>
      <c r="AA50">
        <v>18</v>
      </c>
    </row>
    <row r="51" spans="1:27" x14ac:dyDescent="0.25">
      <c r="A51">
        <v>2377</v>
      </c>
      <c r="B51">
        <v>1090528973</v>
      </c>
      <c r="C51">
        <v>1</v>
      </c>
      <c r="D51" s="6" t="s">
        <v>2208</v>
      </c>
      <c r="E51" s="6" t="s">
        <v>2209</v>
      </c>
      <c r="F51">
        <v>3213573438</v>
      </c>
      <c r="G51" s="6" t="s">
        <v>2210</v>
      </c>
      <c r="H51" s="6" t="s">
        <v>1638</v>
      </c>
      <c r="I51" s="6" t="s">
        <v>2211</v>
      </c>
      <c r="J51" s="6" t="s">
        <v>1638</v>
      </c>
      <c r="K51" s="7">
        <v>36321</v>
      </c>
      <c r="L51" s="6" t="s">
        <v>1638</v>
      </c>
      <c r="M51">
        <v>1</v>
      </c>
      <c r="N51">
        <v>3</v>
      </c>
      <c r="O51" s="6" t="s">
        <v>1638</v>
      </c>
      <c r="P51" s="6" t="s">
        <v>1638</v>
      </c>
      <c r="Q51" s="6" t="s">
        <v>1638</v>
      </c>
      <c r="R51" s="6" t="s">
        <v>1639</v>
      </c>
      <c r="S51" s="6" t="s">
        <v>2212</v>
      </c>
      <c r="T51" s="6" t="s">
        <v>2185</v>
      </c>
      <c r="U51" s="6" t="s">
        <v>2213</v>
      </c>
      <c r="V51" s="6" t="s">
        <v>1638</v>
      </c>
      <c r="W51" s="6" t="s">
        <v>35</v>
      </c>
      <c r="X51" s="7">
        <v>45943</v>
      </c>
      <c r="Y51">
        <v>0</v>
      </c>
      <c r="Z51" s="6" t="s">
        <v>1709</v>
      </c>
      <c r="AA51">
        <v>1</v>
      </c>
    </row>
    <row r="52" spans="1:27" x14ac:dyDescent="0.25">
      <c r="A52">
        <v>2378</v>
      </c>
      <c r="B52">
        <v>1098819121</v>
      </c>
      <c r="C52">
        <v>1</v>
      </c>
      <c r="D52" s="6" t="s">
        <v>2214</v>
      </c>
      <c r="E52" s="6" t="s">
        <v>2215</v>
      </c>
      <c r="F52">
        <v>3219111149</v>
      </c>
      <c r="G52" s="6" t="s">
        <v>2216</v>
      </c>
      <c r="H52" s="6" t="s">
        <v>1638</v>
      </c>
      <c r="I52" s="6" t="s">
        <v>2217</v>
      </c>
      <c r="J52" s="6" t="s">
        <v>1638</v>
      </c>
      <c r="K52" s="7">
        <v>36274</v>
      </c>
      <c r="L52" s="6" t="s">
        <v>1638</v>
      </c>
      <c r="M52">
        <v>1</v>
      </c>
      <c r="N52">
        <v>2</v>
      </c>
      <c r="O52" s="6" t="s">
        <v>1638</v>
      </c>
      <c r="P52" s="6" t="s">
        <v>1638</v>
      </c>
      <c r="Q52" s="6" t="s">
        <v>1638</v>
      </c>
      <c r="R52" s="6" t="s">
        <v>1639</v>
      </c>
      <c r="S52" s="6" t="s">
        <v>2218</v>
      </c>
      <c r="T52" s="6" t="s">
        <v>1721</v>
      </c>
      <c r="U52" s="6" t="s">
        <v>2219</v>
      </c>
      <c r="V52" s="6" t="s">
        <v>1638</v>
      </c>
      <c r="W52" s="6" t="s">
        <v>35</v>
      </c>
      <c r="X52" s="7">
        <v>45943</v>
      </c>
      <c r="Y52">
        <v>0</v>
      </c>
      <c r="Z52" s="6" t="s">
        <v>1709</v>
      </c>
      <c r="AA52">
        <v>19</v>
      </c>
    </row>
    <row r="53" spans="1:27" x14ac:dyDescent="0.25">
      <c r="A53">
        <v>2375</v>
      </c>
      <c r="B53">
        <v>1098631699</v>
      </c>
      <c r="C53">
        <v>1</v>
      </c>
      <c r="D53" s="6" t="s">
        <v>2220</v>
      </c>
      <c r="E53" s="6" t="s">
        <v>2221</v>
      </c>
      <c r="F53">
        <v>3155525970</v>
      </c>
      <c r="G53" s="6" t="s">
        <v>2222</v>
      </c>
      <c r="H53" s="6" t="s">
        <v>1638</v>
      </c>
      <c r="I53" s="6" t="s">
        <v>2223</v>
      </c>
      <c r="J53" s="6" t="s">
        <v>1638</v>
      </c>
      <c r="K53" s="7">
        <v>31798</v>
      </c>
      <c r="L53" s="6" t="s">
        <v>1638</v>
      </c>
      <c r="M53">
        <v>1</v>
      </c>
      <c r="N53">
        <v>1</v>
      </c>
      <c r="O53" s="6" t="s">
        <v>1638</v>
      </c>
      <c r="P53" s="6" t="s">
        <v>1638</v>
      </c>
      <c r="Q53" s="6" t="s">
        <v>1638</v>
      </c>
      <c r="R53" s="6" t="s">
        <v>1639</v>
      </c>
      <c r="S53" s="6" t="s">
        <v>2224</v>
      </c>
      <c r="T53" s="6" t="s">
        <v>1721</v>
      </c>
      <c r="U53" s="6" t="s">
        <v>2225</v>
      </c>
      <c r="V53" s="6" t="s">
        <v>1638</v>
      </c>
      <c r="W53" s="6" t="s">
        <v>35</v>
      </c>
      <c r="X53" s="7">
        <v>45943</v>
      </c>
      <c r="Y53">
        <v>0</v>
      </c>
      <c r="Z53" s="6" t="s">
        <v>1709</v>
      </c>
      <c r="AA53">
        <v>19</v>
      </c>
    </row>
    <row r="54" spans="1:27" x14ac:dyDescent="0.25">
      <c r="A54">
        <v>2376</v>
      </c>
      <c r="B54">
        <v>1098765354</v>
      </c>
      <c r="C54">
        <v>1</v>
      </c>
      <c r="D54" s="6" t="s">
        <v>2226</v>
      </c>
      <c r="E54" s="6" t="s">
        <v>2227</v>
      </c>
      <c r="F54">
        <v>3235339663</v>
      </c>
      <c r="G54" s="6" t="s">
        <v>2228</v>
      </c>
      <c r="H54" s="6" t="s">
        <v>1638</v>
      </c>
      <c r="I54" s="6" t="s">
        <v>1638</v>
      </c>
      <c r="J54" s="6" t="s">
        <v>1638</v>
      </c>
      <c r="K54" s="7">
        <v>34738</v>
      </c>
      <c r="L54" s="6" t="s">
        <v>1638</v>
      </c>
      <c r="M54">
        <v>2</v>
      </c>
      <c r="N54">
        <v>1</v>
      </c>
      <c r="O54" s="6" t="s">
        <v>1638</v>
      </c>
      <c r="P54" s="6" t="s">
        <v>1638</v>
      </c>
      <c r="Q54" s="6" t="s">
        <v>1638</v>
      </c>
      <c r="R54" s="6" t="s">
        <v>1638</v>
      </c>
      <c r="S54" s="6" t="s">
        <v>1638</v>
      </c>
      <c r="T54" s="6" t="s">
        <v>1638</v>
      </c>
      <c r="U54" s="6" t="s">
        <v>1638</v>
      </c>
      <c r="V54" s="6" t="s">
        <v>1638</v>
      </c>
      <c r="W54" s="6" t="s">
        <v>1640</v>
      </c>
      <c r="X54" s="7">
        <v>45943</v>
      </c>
      <c r="Y54">
        <v>0</v>
      </c>
      <c r="Z54" s="6" t="s">
        <v>1638</v>
      </c>
      <c r="AA54">
        <v>19</v>
      </c>
    </row>
    <row r="55" spans="1:27" x14ac:dyDescent="0.25">
      <c r="A55">
        <v>2382</v>
      </c>
      <c r="B55">
        <v>1007358928</v>
      </c>
      <c r="C55">
        <v>1</v>
      </c>
      <c r="D55" s="6" t="s">
        <v>2229</v>
      </c>
      <c r="E55" s="6" t="s">
        <v>2230</v>
      </c>
      <c r="F55">
        <v>3107276598</v>
      </c>
      <c r="G55" s="6" t="s">
        <v>2231</v>
      </c>
      <c r="H55" s="6" t="s">
        <v>1638</v>
      </c>
      <c r="I55" s="6" t="s">
        <v>2232</v>
      </c>
      <c r="J55" s="6" t="s">
        <v>1638</v>
      </c>
      <c r="K55" s="7">
        <v>36651</v>
      </c>
      <c r="L55" s="6" t="s">
        <v>1638</v>
      </c>
      <c r="M55">
        <v>1</v>
      </c>
      <c r="N55">
        <v>10</v>
      </c>
      <c r="O55" s="6" t="s">
        <v>1638</v>
      </c>
      <c r="P55" s="6" t="s">
        <v>1638</v>
      </c>
      <c r="Q55" s="6" t="s">
        <v>1638</v>
      </c>
      <c r="R55" s="6" t="s">
        <v>1848</v>
      </c>
      <c r="S55" s="6" t="s">
        <v>2233</v>
      </c>
      <c r="T55" s="6" t="s">
        <v>1721</v>
      </c>
      <c r="U55" s="6" t="s">
        <v>2234</v>
      </c>
      <c r="V55" s="6" t="s">
        <v>1638</v>
      </c>
      <c r="W55" s="6" t="s">
        <v>35</v>
      </c>
      <c r="X55" s="7">
        <v>45943</v>
      </c>
      <c r="Y55">
        <v>0</v>
      </c>
      <c r="Z55" s="6" t="s">
        <v>1709</v>
      </c>
      <c r="AA55">
        <v>19</v>
      </c>
    </row>
    <row r="56" spans="1:27" x14ac:dyDescent="0.25">
      <c r="A56">
        <v>2383</v>
      </c>
      <c r="B56">
        <v>1005187841</v>
      </c>
      <c r="C56">
        <v>1</v>
      </c>
      <c r="D56" s="6" t="s">
        <v>2240</v>
      </c>
      <c r="E56" s="6" t="s">
        <v>2241</v>
      </c>
      <c r="F56">
        <v>3157290898</v>
      </c>
      <c r="G56" s="6" t="s">
        <v>2242</v>
      </c>
      <c r="H56" s="6" t="s">
        <v>1638</v>
      </c>
      <c r="I56" s="6" t="s">
        <v>1638</v>
      </c>
      <c r="J56" s="6" t="s">
        <v>1638</v>
      </c>
      <c r="K56" s="7">
        <v>36794</v>
      </c>
      <c r="L56" s="6" t="s">
        <v>1638</v>
      </c>
      <c r="M56">
        <v>2</v>
      </c>
      <c r="N56">
        <v>7</v>
      </c>
      <c r="O56" s="6" t="s">
        <v>1638</v>
      </c>
      <c r="P56" s="6" t="s">
        <v>1638</v>
      </c>
      <c r="Q56" s="6" t="s">
        <v>1638</v>
      </c>
      <c r="R56" s="6" t="s">
        <v>1638</v>
      </c>
      <c r="S56" s="6" t="s">
        <v>1638</v>
      </c>
      <c r="T56" s="6" t="s">
        <v>1638</v>
      </c>
      <c r="U56" s="6" t="s">
        <v>1638</v>
      </c>
      <c r="V56" s="6" t="s">
        <v>1638</v>
      </c>
      <c r="W56" s="6" t="s">
        <v>1640</v>
      </c>
      <c r="X56" s="7">
        <v>45944</v>
      </c>
      <c r="Y56">
        <v>0</v>
      </c>
      <c r="Z56" s="6" t="s">
        <v>1638</v>
      </c>
      <c r="AA56">
        <v>1</v>
      </c>
    </row>
    <row r="57" spans="1:27" x14ac:dyDescent="0.25">
      <c r="A57">
        <v>2384</v>
      </c>
      <c r="B57">
        <v>1098816087</v>
      </c>
      <c r="C57">
        <v>1</v>
      </c>
      <c r="D57" s="6" t="s">
        <v>2243</v>
      </c>
      <c r="E57" s="6" t="s">
        <v>2244</v>
      </c>
      <c r="F57">
        <v>3162364983</v>
      </c>
      <c r="G57" s="6" t="s">
        <v>2245</v>
      </c>
      <c r="H57" s="6" t="s">
        <v>1638</v>
      </c>
      <c r="I57" s="6" t="s">
        <v>2246</v>
      </c>
      <c r="J57" s="6" t="s">
        <v>1638</v>
      </c>
      <c r="K57" s="7">
        <v>36197</v>
      </c>
      <c r="L57" s="6" t="s">
        <v>1638</v>
      </c>
      <c r="M57">
        <v>1</v>
      </c>
      <c r="N57">
        <v>2</v>
      </c>
      <c r="O57" s="6" t="s">
        <v>1638</v>
      </c>
      <c r="P57" s="6" t="s">
        <v>1638</v>
      </c>
      <c r="Q57" s="6" t="s">
        <v>1638</v>
      </c>
      <c r="R57" s="6" t="s">
        <v>1639</v>
      </c>
      <c r="S57" s="6" t="s">
        <v>2247</v>
      </c>
      <c r="T57" s="6" t="s">
        <v>1721</v>
      </c>
      <c r="U57" s="6" t="s">
        <v>2248</v>
      </c>
      <c r="V57" s="6" t="s">
        <v>1638</v>
      </c>
      <c r="W57" s="6" t="s">
        <v>35</v>
      </c>
      <c r="X57" s="7">
        <v>45944</v>
      </c>
      <c r="Y57">
        <v>0</v>
      </c>
      <c r="Z57" s="6" t="s">
        <v>1709</v>
      </c>
      <c r="AA57">
        <v>18</v>
      </c>
    </row>
    <row r="58" spans="1:27" x14ac:dyDescent="0.25">
      <c r="A58">
        <v>2388</v>
      </c>
      <c r="B58">
        <v>1102726114</v>
      </c>
      <c r="C58">
        <v>1</v>
      </c>
      <c r="D58" s="6" t="s">
        <v>2251</v>
      </c>
      <c r="E58" s="6" t="s">
        <v>2252</v>
      </c>
      <c r="F58">
        <v>3142451534</v>
      </c>
      <c r="G58" s="6" t="s">
        <v>1182</v>
      </c>
      <c r="H58" s="6" t="s">
        <v>1638</v>
      </c>
      <c r="I58" s="6" t="s">
        <v>1182</v>
      </c>
      <c r="J58" s="6" t="s">
        <v>1638</v>
      </c>
      <c r="K58" s="7">
        <v>36387</v>
      </c>
      <c r="L58" s="6" t="s">
        <v>1638</v>
      </c>
      <c r="M58">
        <v>1</v>
      </c>
      <c r="N58">
        <v>1</v>
      </c>
      <c r="O58" s="6" t="s">
        <v>1638</v>
      </c>
      <c r="P58" s="6" t="s">
        <v>1638</v>
      </c>
      <c r="Q58" s="6" t="s">
        <v>1638</v>
      </c>
      <c r="R58" s="6" t="s">
        <v>1815</v>
      </c>
      <c r="S58" s="6" t="s">
        <v>2253</v>
      </c>
      <c r="T58" s="6" t="s">
        <v>1721</v>
      </c>
      <c r="U58" s="6" t="s">
        <v>2254</v>
      </c>
      <c r="V58" s="6" t="s">
        <v>1638</v>
      </c>
      <c r="W58" s="6" t="s">
        <v>35</v>
      </c>
      <c r="X58" s="7">
        <v>45944</v>
      </c>
      <c r="Y58">
        <v>0</v>
      </c>
      <c r="Z58" s="6" t="s">
        <v>1709</v>
      </c>
      <c r="AA58">
        <v>19</v>
      </c>
    </row>
    <row r="59" spans="1:27" x14ac:dyDescent="0.25">
      <c r="A59">
        <v>2396</v>
      </c>
      <c r="B59">
        <v>1097780926</v>
      </c>
      <c r="C59">
        <v>1</v>
      </c>
      <c r="D59" s="6" t="s">
        <v>2263</v>
      </c>
      <c r="E59" s="6" t="s">
        <v>2264</v>
      </c>
      <c r="F59">
        <v>3156260158</v>
      </c>
      <c r="G59" s="6" t="s">
        <v>2265</v>
      </c>
      <c r="H59" s="6" t="s">
        <v>1638</v>
      </c>
      <c r="I59" s="6" t="s">
        <v>2266</v>
      </c>
      <c r="J59" s="6" t="s">
        <v>1638</v>
      </c>
      <c r="K59" s="7">
        <v>38150</v>
      </c>
      <c r="L59" s="6" t="s">
        <v>1638</v>
      </c>
      <c r="M59">
        <v>2</v>
      </c>
      <c r="N59">
        <v>2</v>
      </c>
      <c r="O59" s="6" t="s">
        <v>1638</v>
      </c>
      <c r="P59" s="6" t="s">
        <v>1638</v>
      </c>
      <c r="Q59" s="6" t="s">
        <v>1638</v>
      </c>
      <c r="R59" s="6" t="s">
        <v>1639</v>
      </c>
      <c r="S59" s="6" t="s">
        <v>2267</v>
      </c>
      <c r="T59" s="6" t="s">
        <v>1721</v>
      </c>
      <c r="U59" s="6" t="s">
        <v>2268</v>
      </c>
      <c r="V59" s="6" t="s">
        <v>1638</v>
      </c>
      <c r="W59" s="6" t="s">
        <v>35</v>
      </c>
      <c r="X59" s="7">
        <v>45945</v>
      </c>
      <c r="Y59">
        <v>0</v>
      </c>
      <c r="Z59" s="6" t="s">
        <v>2269</v>
      </c>
      <c r="AA59">
        <v>19</v>
      </c>
    </row>
    <row r="60" spans="1:27" x14ac:dyDescent="0.25">
      <c r="A60">
        <v>2400</v>
      </c>
      <c r="B60">
        <v>1005051157</v>
      </c>
      <c r="C60">
        <v>1</v>
      </c>
      <c r="D60" s="6" t="s">
        <v>2275</v>
      </c>
      <c r="E60" s="6" t="s">
        <v>2276</v>
      </c>
      <c r="F60">
        <v>3202871209</v>
      </c>
      <c r="G60" s="6" t="s">
        <v>2277</v>
      </c>
      <c r="H60" s="6" t="s">
        <v>1638</v>
      </c>
      <c r="I60" s="6" t="s">
        <v>1638</v>
      </c>
      <c r="J60" s="6" t="s">
        <v>1638</v>
      </c>
      <c r="K60" s="7">
        <v>36521</v>
      </c>
      <c r="L60" s="6" t="s">
        <v>1638</v>
      </c>
      <c r="M60">
        <v>2</v>
      </c>
      <c r="N60">
        <v>4</v>
      </c>
      <c r="O60" s="6" t="s">
        <v>1638</v>
      </c>
      <c r="P60" s="6" t="s">
        <v>1638</v>
      </c>
      <c r="Q60" s="6" t="s">
        <v>1638</v>
      </c>
      <c r="R60" s="6" t="s">
        <v>1638</v>
      </c>
      <c r="S60" s="6" t="s">
        <v>1638</v>
      </c>
      <c r="T60" s="6" t="s">
        <v>1638</v>
      </c>
      <c r="U60" s="6" t="s">
        <v>1638</v>
      </c>
      <c r="V60" s="6" t="s">
        <v>1638</v>
      </c>
      <c r="W60" s="6" t="s">
        <v>1640</v>
      </c>
      <c r="X60" s="7">
        <v>45945</v>
      </c>
      <c r="Y60">
        <v>0</v>
      </c>
      <c r="Z60" s="6" t="s">
        <v>1638</v>
      </c>
      <c r="AA60">
        <v>19</v>
      </c>
    </row>
    <row r="61" spans="1:27" x14ac:dyDescent="0.25">
      <c r="A61">
        <v>2403</v>
      </c>
      <c r="B61">
        <v>1005324274</v>
      </c>
      <c r="C61">
        <v>1</v>
      </c>
      <c r="D61" s="6" t="s">
        <v>2281</v>
      </c>
      <c r="E61" s="6" t="s">
        <v>2282</v>
      </c>
      <c r="F61">
        <v>3107792786</v>
      </c>
      <c r="G61" s="6" t="s">
        <v>2283</v>
      </c>
      <c r="H61" s="6" t="s">
        <v>1638</v>
      </c>
      <c r="I61" s="6" t="s">
        <v>2284</v>
      </c>
      <c r="J61" s="6" t="s">
        <v>1638</v>
      </c>
      <c r="K61" s="7">
        <v>37116</v>
      </c>
      <c r="L61" s="6" t="s">
        <v>1638</v>
      </c>
      <c r="M61">
        <v>1</v>
      </c>
      <c r="N61">
        <v>5</v>
      </c>
      <c r="O61" s="6" t="s">
        <v>1638</v>
      </c>
      <c r="P61" s="6" t="s">
        <v>1638</v>
      </c>
      <c r="Q61" s="6" t="s">
        <v>1638</v>
      </c>
      <c r="R61" s="6" t="s">
        <v>1695</v>
      </c>
      <c r="S61" s="6" t="s">
        <v>2285</v>
      </c>
      <c r="T61" s="6" t="s">
        <v>1707</v>
      </c>
      <c r="U61" s="6" t="s">
        <v>2286</v>
      </c>
      <c r="V61" s="6" t="s">
        <v>1638</v>
      </c>
      <c r="W61" s="6" t="s">
        <v>35</v>
      </c>
      <c r="X61" s="7">
        <v>45945</v>
      </c>
      <c r="Y61">
        <v>0</v>
      </c>
      <c r="Z61" s="6" t="s">
        <v>2287</v>
      </c>
      <c r="AA61">
        <v>19</v>
      </c>
    </row>
    <row r="62" spans="1:27" x14ac:dyDescent="0.25">
      <c r="A62">
        <v>2404</v>
      </c>
      <c r="B62">
        <v>1096062857</v>
      </c>
      <c r="C62">
        <v>1</v>
      </c>
      <c r="D62" s="6" t="s">
        <v>2288</v>
      </c>
      <c r="E62" s="6" t="s">
        <v>2282</v>
      </c>
      <c r="F62">
        <v>3507829073</v>
      </c>
      <c r="G62" s="6" t="s">
        <v>2289</v>
      </c>
      <c r="H62" s="6" t="s">
        <v>1638</v>
      </c>
      <c r="I62" s="6" t="s">
        <v>2284</v>
      </c>
      <c r="J62" s="6" t="s">
        <v>1638</v>
      </c>
      <c r="K62" s="7">
        <v>37949</v>
      </c>
      <c r="L62" s="6" t="s">
        <v>1638</v>
      </c>
      <c r="M62">
        <v>1</v>
      </c>
      <c r="N62">
        <v>5</v>
      </c>
      <c r="O62" s="6" t="s">
        <v>1638</v>
      </c>
      <c r="P62" s="6" t="s">
        <v>1638</v>
      </c>
      <c r="Q62" s="6" t="s">
        <v>1638</v>
      </c>
      <c r="R62" s="6" t="s">
        <v>1695</v>
      </c>
      <c r="S62" s="6" t="s">
        <v>2290</v>
      </c>
      <c r="T62" s="6" t="s">
        <v>1707</v>
      </c>
      <c r="U62" s="6" t="s">
        <v>2291</v>
      </c>
      <c r="V62" s="6" t="s">
        <v>1638</v>
      </c>
      <c r="W62" s="6" t="s">
        <v>35</v>
      </c>
      <c r="X62" s="7">
        <v>45945</v>
      </c>
      <c r="Y62">
        <v>0</v>
      </c>
      <c r="Z62" s="6" t="s">
        <v>2287</v>
      </c>
      <c r="AA62">
        <v>19</v>
      </c>
    </row>
    <row r="63" spans="1:27" x14ac:dyDescent="0.25">
      <c r="A63">
        <v>2387</v>
      </c>
      <c r="B63">
        <v>1097500305</v>
      </c>
      <c r="C63">
        <v>3</v>
      </c>
      <c r="D63" s="6" t="s">
        <v>2292</v>
      </c>
      <c r="E63" s="6" t="s">
        <v>2293</v>
      </c>
      <c r="F63">
        <v>3136468251</v>
      </c>
      <c r="G63" s="6" t="s">
        <v>2294</v>
      </c>
      <c r="H63" s="6" t="s">
        <v>1638</v>
      </c>
      <c r="I63" s="6" t="s">
        <v>2295</v>
      </c>
      <c r="J63" s="6" t="s">
        <v>1638</v>
      </c>
      <c r="K63" s="7">
        <v>39766</v>
      </c>
      <c r="L63" s="6" t="s">
        <v>1638</v>
      </c>
      <c r="M63">
        <v>1</v>
      </c>
      <c r="N63">
        <v>1</v>
      </c>
      <c r="O63" s="6" t="s">
        <v>1638</v>
      </c>
      <c r="P63" s="6" t="s">
        <v>1638</v>
      </c>
      <c r="Q63" s="6" t="s">
        <v>1638</v>
      </c>
      <c r="R63" s="6" t="s">
        <v>1848</v>
      </c>
      <c r="S63" s="6" t="s">
        <v>2296</v>
      </c>
      <c r="T63" s="6" t="s">
        <v>1721</v>
      </c>
      <c r="U63" s="6" t="s">
        <v>2297</v>
      </c>
      <c r="V63" s="6" t="s">
        <v>1638</v>
      </c>
      <c r="W63" s="6" t="s">
        <v>35</v>
      </c>
      <c r="X63" s="7">
        <v>45944</v>
      </c>
      <c r="Y63">
        <v>0</v>
      </c>
      <c r="Z63" s="6" t="s">
        <v>1709</v>
      </c>
      <c r="AA63">
        <v>19</v>
      </c>
    </row>
    <row r="64" spans="1:27" x14ac:dyDescent="0.25">
      <c r="A64">
        <v>2409</v>
      </c>
      <c r="B64">
        <v>1044621284</v>
      </c>
      <c r="C64">
        <v>1</v>
      </c>
      <c r="D64" s="6" t="s">
        <v>2302</v>
      </c>
      <c r="E64" s="6" t="s">
        <v>2303</v>
      </c>
      <c r="F64">
        <v>3053197353</v>
      </c>
      <c r="G64" s="6" t="s">
        <v>2304</v>
      </c>
      <c r="H64" s="6" t="s">
        <v>1638</v>
      </c>
      <c r="I64" s="6" t="s">
        <v>1638</v>
      </c>
      <c r="J64" s="6" t="s">
        <v>1638</v>
      </c>
      <c r="K64" s="7">
        <v>38668</v>
      </c>
      <c r="L64" s="6" t="s">
        <v>1638</v>
      </c>
      <c r="M64">
        <v>2</v>
      </c>
      <c r="N64">
        <v>5</v>
      </c>
      <c r="O64" s="6" t="s">
        <v>1638</v>
      </c>
      <c r="P64" s="6" t="s">
        <v>1638</v>
      </c>
      <c r="Q64" s="6" t="s">
        <v>1638</v>
      </c>
      <c r="R64" s="6" t="s">
        <v>1638</v>
      </c>
      <c r="S64" s="6" t="s">
        <v>1638</v>
      </c>
      <c r="T64" s="6" t="s">
        <v>1638</v>
      </c>
      <c r="U64" s="6" t="s">
        <v>1638</v>
      </c>
      <c r="V64" s="6" t="s">
        <v>1638</v>
      </c>
      <c r="W64" s="6" t="s">
        <v>1640</v>
      </c>
      <c r="X64" s="7">
        <v>45945</v>
      </c>
      <c r="Y64">
        <v>0</v>
      </c>
      <c r="Z64" s="6" t="s">
        <v>1638</v>
      </c>
      <c r="AA64">
        <v>1</v>
      </c>
    </row>
    <row r="65" spans="1:27" x14ac:dyDescent="0.25">
      <c r="A65">
        <v>2411</v>
      </c>
      <c r="B65">
        <v>1090470570</v>
      </c>
      <c r="C65">
        <v>1</v>
      </c>
      <c r="D65" s="6" t="s">
        <v>2305</v>
      </c>
      <c r="E65" s="6" t="s">
        <v>2306</v>
      </c>
      <c r="F65">
        <v>3219629934</v>
      </c>
      <c r="G65" s="6" t="s">
        <v>2307</v>
      </c>
      <c r="H65" s="6" t="s">
        <v>1638</v>
      </c>
      <c r="I65" s="6" t="s">
        <v>2308</v>
      </c>
      <c r="J65" s="6" t="s">
        <v>1638</v>
      </c>
      <c r="K65" s="7">
        <v>34320</v>
      </c>
      <c r="L65" s="6" t="s">
        <v>1638</v>
      </c>
      <c r="M65">
        <v>2</v>
      </c>
      <c r="N65">
        <v>4</v>
      </c>
      <c r="O65" s="6" t="s">
        <v>1638</v>
      </c>
      <c r="P65" s="6" t="s">
        <v>1638</v>
      </c>
      <c r="Q65" s="6" t="s">
        <v>1638</v>
      </c>
      <c r="R65" s="6" t="s">
        <v>2309</v>
      </c>
      <c r="S65" s="6" t="s">
        <v>2310</v>
      </c>
      <c r="T65" s="6" t="s">
        <v>1842</v>
      </c>
      <c r="U65" s="6" t="s">
        <v>2311</v>
      </c>
      <c r="V65" s="6" t="s">
        <v>1638</v>
      </c>
      <c r="W65" s="6" t="s">
        <v>35</v>
      </c>
      <c r="X65" s="7">
        <v>45945</v>
      </c>
      <c r="Y65">
        <v>0</v>
      </c>
      <c r="Z65" s="6" t="s">
        <v>1709</v>
      </c>
      <c r="AA65">
        <v>19</v>
      </c>
    </row>
    <row r="66" spans="1:27" x14ac:dyDescent="0.25">
      <c r="A66">
        <v>2410</v>
      </c>
      <c r="B66">
        <v>1090510431</v>
      </c>
      <c r="C66">
        <v>1</v>
      </c>
      <c r="D66" s="6" t="s">
        <v>1669</v>
      </c>
      <c r="E66" s="6" t="s">
        <v>2312</v>
      </c>
      <c r="F66">
        <v>3011688699</v>
      </c>
      <c r="G66" s="6" t="s">
        <v>2313</v>
      </c>
      <c r="H66" s="6" t="s">
        <v>1638</v>
      </c>
      <c r="I66" s="6" t="s">
        <v>2314</v>
      </c>
      <c r="J66" s="6" t="s">
        <v>1638</v>
      </c>
      <c r="K66" s="7">
        <v>35749</v>
      </c>
      <c r="L66" s="6" t="s">
        <v>1638</v>
      </c>
      <c r="M66">
        <v>1</v>
      </c>
      <c r="N66">
        <v>4</v>
      </c>
      <c r="O66" s="6" t="s">
        <v>1638</v>
      </c>
      <c r="P66" s="6" t="s">
        <v>1638</v>
      </c>
      <c r="Q66" s="6" t="s">
        <v>1638</v>
      </c>
      <c r="R66" s="6" t="s">
        <v>1663</v>
      </c>
      <c r="S66" s="6" t="s">
        <v>2315</v>
      </c>
      <c r="T66" s="6" t="s">
        <v>1721</v>
      </c>
      <c r="U66" s="6" t="s">
        <v>2316</v>
      </c>
      <c r="V66" s="6" t="s">
        <v>1638</v>
      </c>
      <c r="W66" s="6" t="s">
        <v>35</v>
      </c>
      <c r="X66" s="7">
        <v>45945</v>
      </c>
      <c r="Y66">
        <v>0</v>
      </c>
      <c r="Z66" s="6" t="s">
        <v>2317</v>
      </c>
      <c r="AA66">
        <v>19</v>
      </c>
    </row>
    <row r="67" spans="1:27" x14ac:dyDescent="0.25">
      <c r="A67">
        <v>2412</v>
      </c>
      <c r="B67">
        <v>1232889880</v>
      </c>
      <c r="C67">
        <v>1</v>
      </c>
      <c r="D67" s="6" t="s">
        <v>2318</v>
      </c>
      <c r="E67" s="6" t="s">
        <v>2319</v>
      </c>
      <c r="F67">
        <v>3023739241</v>
      </c>
      <c r="G67" s="6" t="s">
        <v>2320</v>
      </c>
      <c r="H67" s="6" t="s">
        <v>1638</v>
      </c>
      <c r="I67" s="6" t="s">
        <v>2321</v>
      </c>
      <c r="J67" s="6" t="s">
        <v>1638</v>
      </c>
      <c r="K67" s="7">
        <v>35966</v>
      </c>
      <c r="L67" s="6" t="s">
        <v>1638</v>
      </c>
      <c r="M67">
        <v>1</v>
      </c>
      <c r="N67">
        <v>2</v>
      </c>
      <c r="O67" s="6" t="s">
        <v>1638</v>
      </c>
      <c r="P67" s="6" t="s">
        <v>1638</v>
      </c>
      <c r="Q67" s="6" t="s">
        <v>1638</v>
      </c>
      <c r="R67" s="6" t="s">
        <v>1663</v>
      </c>
      <c r="S67" s="6" t="s">
        <v>2322</v>
      </c>
      <c r="T67" s="6" t="s">
        <v>1721</v>
      </c>
      <c r="U67" s="6" t="s">
        <v>2323</v>
      </c>
      <c r="V67" s="6" t="s">
        <v>1638</v>
      </c>
      <c r="W67" s="6" t="s">
        <v>35</v>
      </c>
      <c r="X67" s="7">
        <v>45946</v>
      </c>
      <c r="Y67">
        <v>0</v>
      </c>
      <c r="Z67" s="6" t="s">
        <v>1709</v>
      </c>
      <c r="AA67">
        <v>18</v>
      </c>
    </row>
    <row r="68" spans="1:27" x14ac:dyDescent="0.25">
      <c r="A68">
        <v>2413</v>
      </c>
      <c r="B68">
        <v>1099735455</v>
      </c>
      <c r="C68">
        <v>1</v>
      </c>
      <c r="D68" s="6" t="s">
        <v>2324</v>
      </c>
      <c r="E68" s="6" t="s">
        <v>2325</v>
      </c>
      <c r="F68">
        <v>3174742401</v>
      </c>
      <c r="G68" s="6" t="s">
        <v>2326</v>
      </c>
      <c r="H68" s="6" t="s">
        <v>1638</v>
      </c>
      <c r="I68" s="6" t="s">
        <v>2327</v>
      </c>
      <c r="J68" s="6" t="s">
        <v>1638</v>
      </c>
      <c r="K68" s="7">
        <v>38244</v>
      </c>
      <c r="L68" s="6" t="s">
        <v>1638</v>
      </c>
      <c r="M68">
        <v>2</v>
      </c>
      <c r="N68">
        <v>5</v>
      </c>
      <c r="O68" s="6" t="s">
        <v>1638</v>
      </c>
      <c r="P68" s="6" t="s">
        <v>1638</v>
      </c>
      <c r="Q68" s="6" t="s">
        <v>1638</v>
      </c>
      <c r="R68" s="6" t="s">
        <v>1663</v>
      </c>
      <c r="S68" s="6" t="s">
        <v>2328</v>
      </c>
      <c r="T68" s="6" t="s">
        <v>1721</v>
      </c>
      <c r="U68" s="6" t="s">
        <v>2329</v>
      </c>
      <c r="V68" s="6" t="s">
        <v>1638</v>
      </c>
      <c r="W68" s="6" t="s">
        <v>35</v>
      </c>
      <c r="X68" s="7">
        <v>45946</v>
      </c>
      <c r="Y68">
        <v>0</v>
      </c>
      <c r="Z68" s="6" t="s">
        <v>1709</v>
      </c>
      <c r="AA68">
        <v>1</v>
      </c>
    </row>
    <row r="69" spans="1:27" x14ac:dyDescent="0.25">
      <c r="A69">
        <v>2414</v>
      </c>
      <c r="B69">
        <v>1098750884</v>
      </c>
      <c r="C69">
        <v>1</v>
      </c>
      <c r="D69" s="6" t="s">
        <v>2332</v>
      </c>
      <c r="E69" s="6" t="s">
        <v>2333</v>
      </c>
      <c r="F69">
        <v>3142065133</v>
      </c>
      <c r="G69" s="6" t="s">
        <v>2334</v>
      </c>
      <c r="H69" s="6" t="s">
        <v>1638</v>
      </c>
      <c r="I69" s="6" t="s">
        <v>2335</v>
      </c>
      <c r="J69" s="6" t="s">
        <v>1638</v>
      </c>
      <c r="K69" s="7">
        <v>34361</v>
      </c>
      <c r="L69" s="6" t="s">
        <v>1638</v>
      </c>
      <c r="M69">
        <v>1</v>
      </c>
      <c r="N69">
        <v>5</v>
      </c>
      <c r="O69" s="6" t="s">
        <v>1638</v>
      </c>
      <c r="P69" s="6" t="s">
        <v>1638</v>
      </c>
      <c r="Q69" s="6" t="s">
        <v>1638</v>
      </c>
      <c r="R69" s="6" t="s">
        <v>1815</v>
      </c>
      <c r="S69" s="6" t="s">
        <v>2336</v>
      </c>
      <c r="T69" s="6" t="s">
        <v>1842</v>
      </c>
      <c r="U69" s="6" t="s">
        <v>2337</v>
      </c>
      <c r="V69" s="6" t="s">
        <v>1638</v>
      </c>
      <c r="W69" s="6" t="s">
        <v>35</v>
      </c>
      <c r="X69" s="7">
        <v>45946</v>
      </c>
      <c r="Y69">
        <v>0</v>
      </c>
      <c r="Z69" s="6" t="s">
        <v>2338</v>
      </c>
      <c r="AA69">
        <v>1</v>
      </c>
    </row>
    <row r="70" spans="1:27" x14ac:dyDescent="0.25">
      <c r="A70">
        <v>2389</v>
      </c>
      <c r="B70">
        <v>37864385</v>
      </c>
      <c r="C70">
        <v>1</v>
      </c>
      <c r="D70" s="6" t="s">
        <v>2343</v>
      </c>
      <c r="E70" s="6" t="s">
        <v>2064</v>
      </c>
      <c r="F70">
        <v>3208540674</v>
      </c>
      <c r="G70" s="6" t="s">
        <v>2344</v>
      </c>
      <c r="H70" s="6" t="s">
        <v>1638</v>
      </c>
      <c r="I70" s="6" t="s">
        <v>2345</v>
      </c>
      <c r="J70" s="6" t="s">
        <v>1638</v>
      </c>
      <c r="K70" s="7">
        <v>29911</v>
      </c>
      <c r="L70" s="6" t="s">
        <v>1638</v>
      </c>
      <c r="M70">
        <v>2</v>
      </c>
      <c r="N70">
        <v>8</v>
      </c>
      <c r="O70" s="6" t="s">
        <v>1638</v>
      </c>
      <c r="P70" s="6" t="s">
        <v>1638</v>
      </c>
      <c r="Q70" s="6" t="s">
        <v>1638</v>
      </c>
      <c r="R70" s="6" t="s">
        <v>1639</v>
      </c>
      <c r="S70" s="6" t="s">
        <v>2346</v>
      </c>
      <c r="T70" s="6" t="s">
        <v>2185</v>
      </c>
      <c r="U70" s="6" t="s">
        <v>2347</v>
      </c>
      <c r="V70" s="6" t="s">
        <v>1638</v>
      </c>
      <c r="W70" s="6" t="s">
        <v>35</v>
      </c>
      <c r="X70" s="7">
        <v>45944</v>
      </c>
      <c r="Y70">
        <v>0</v>
      </c>
      <c r="Z70" s="6" t="s">
        <v>2348</v>
      </c>
      <c r="AA70">
        <v>18</v>
      </c>
    </row>
    <row r="71" spans="1:27" x14ac:dyDescent="0.25">
      <c r="A71">
        <v>2418</v>
      </c>
      <c r="B71">
        <v>1096062473</v>
      </c>
      <c r="C71">
        <v>1</v>
      </c>
      <c r="D71" s="6" t="s">
        <v>2349</v>
      </c>
      <c r="E71" s="6" t="s">
        <v>2350</v>
      </c>
      <c r="F71">
        <v>3163091712</v>
      </c>
      <c r="G71" s="6" t="s">
        <v>2351</v>
      </c>
      <c r="H71" s="6" t="s">
        <v>1638</v>
      </c>
      <c r="I71" s="6" t="s">
        <v>2352</v>
      </c>
      <c r="J71" s="6" t="s">
        <v>1638</v>
      </c>
      <c r="K71" s="7">
        <v>38010</v>
      </c>
      <c r="L71" s="6" t="s">
        <v>1638</v>
      </c>
      <c r="M71">
        <v>1</v>
      </c>
      <c r="N71">
        <v>2</v>
      </c>
      <c r="O71" s="6" t="s">
        <v>1638</v>
      </c>
      <c r="P71" s="6" t="s">
        <v>1638</v>
      </c>
      <c r="Q71" s="6" t="s">
        <v>1638</v>
      </c>
      <c r="R71" s="6" t="s">
        <v>1848</v>
      </c>
      <c r="S71" s="6" t="s">
        <v>2353</v>
      </c>
      <c r="T71" s="6" t="s">
        <v>1721</v>
      </c>
      <c r="U71" s="6" t="s">
        <v>2353</v>
      </c>
      <c r="V71" s="6" t="s">
        <v>1638</v>
      </c>
      <c r="W71" s="6" t="s">
        <v>35</v>
      </c>
      <c r="X71" s="7">
        <v>45946</v>
      </c>
      <c r="Y71">
        <v>0</v>
      </c>
      <c r="Z71" s="6" t="s">
        <v>1709</v>
      </c>
      <c r="AA71">
        <v>18</v>
      </c>
    </row>
    <row r="72" spans="1:27" x14ac:dyDescent="0.25">
      <c r="A72">
        <v>2421</v>
      </c>
      <c r="B72">
        <v>1090439893</v>
      </c>
      <c r="C72">
        <v>1</v>
      </c>
      <c r="D72" s="6" t="s">
        <v>2359</v>
      </c>
      <c r="E72" s="6" t="s">
        <v>2360</v>
      </c>
      <c r="F72">
        <v>3046314544</v>
      </c>
      <c r="G72" s="6" t="s">
        <v>2361</v>
      </c>
      <c r="H72" s="6" t="s">
        <v>1638</v>
      </c>
      <c r="I72" s="6" t="s">
        <v>2362</v>
      </c>
      <c r="J72" s="6" t="s">
        <v>1638</v>
      </c>
      <c r="K72" s="7">
        <v>33494</v>
      </c>
      <c r="L72" s="6" t="s">
        <v>1638</v>
      </c>
      <c r="M72">
        <v>2</v>
      </c>
      <c r="N72">
        <v>4</v>
      </c>
      <c r="O72" s="6" t="s">
        <v>1638</v>
      </c>
      <c r="P72" s="6" t="s">
        <v>1638</v>
      </c>
      <c r="Q72" s="6" t="s">
        <v>1638</v>
      </c>
      <c r="R72" s="6" t="s">
        <v>1663</v>
      </c>
      <c r="S72" s="6" t="s">
        <v>2363</v>
      </c>
      <c r="T72" s="6" t="s">
        <v>1721</v>
      </c>
      <c r="U72" s="6" t="s">
        <v>2364</v>
      </c>
      <c r="V72" s="6" t="s">
        <v>1638</v>
      </c>
      <c r="W72" s="6" t="s">
        <v>35</v>
      </c>
      <c r="X72" s="7">
        <v>45946</v>
      </c>
      <c r="Y72">
        <v>0</v>
      </c>
      <c r="Z72" s="6" t="s">
        <v>1709</v>
      </c>
      <c r="AA72">
        <v>19</v>
      </c>
    </row>
    <row r="73" spans="1:27" x14ac:dyDescent="0.25">
      <c r="A73">
        <v>2423</v>
      </c>
      <c r="B73">
        <v>63496937</v>
      </c>
      <c r="C73">
        <v>1</v>
      </c>
      <c r="D73" s="6" t="s">
        <v>2368</v>
      </c>
      <c r="E73" s="6" t="s">
        <v>2369</v>
      </c>
      <c r="F73">
        <v>3229428955</v>
      </c>
      <c r="G73" s="6" t="s">
        <v>2370</v>
      </c>
      <c r="H73" s="6" t="s">
        <v>1638</v>
      </c>
      <c r="I73" s="6" t="s">
        <v>1638</v>
      </c>
      <c r="J73" s="6" t="s">
        <v>1638</v>
      </c>
      <c r="K73" s="7">
        <v>27208</v>
      </c>
      <c r="L73" s="6" t="s">
        <v>1638</v>
      </c>
      <c r="M73">
        <v>2</v>
      </c>
      <c r="N73">
        <v>2</v>
      </c>
      <c r="O73" s="6" t="s">
        <v>1638</v>
      </c>
      <c r="P73" s="6" t="s">
        <v>1638</v>
      </c>
      <c r="Q73" s="6" t="s">
        <v>1638</v>
      </c>
      <c r="R73" s="6" t="s">
        <v>1638</v>
      </c>
      <c r="S73" s="6" t="s">
        <v>1638</v>
      </c>
      <c r="T73" s="6" t="s">
        <v>1638</v>
      </c>
      <c r="U73" s="6" t="s">
        <v>1638</v>
      </c>
      <c r="V73" s="6" t="s">
        <v>1638</v>
      </c>
      <c r="W73" s="6" t="s">
        <v>1640</v>
      </c>
      <c r="X73" s="7">
        <v>45946</v>
      </c>
      <c r="Y73">
        <v>0</v>
      </c>
      <c r="Z73" s="6" t="s">
        <v>1638</v>
      </c>
      <c r="AA73">
        <v>1</v>
      </c>
    </row>
    <row r="74" spans="1:27" x14ac:dyDescent="0.25">
      <c r="A74">
        <v>2425</v>
      </c>
      <c r="B74">
        <v>1383673</v>
      </c>
      <c r="C74">
        <v>6</v>
      </c>
      <c r="D74" s="6" t="s">
        <v>2371</v>
      </c>
      <c r="E74" s="6" t="s">
        <v>2372</v>
      </c>
      <c r="F74">
        <v>3114308386</v>
      </c>
      <c r="G74" s="6" t="s">
        <v>2373</v>
      </c>
      <c r="H74" s="6" t="s">
        <v>1638</v>
      </c>
      <c r="I74" s="6" t="s">
        <v>1638</v>
      </c>
      <c r="J74" s="6" t="s">
        <v>1638</v>
      </c>
      <c r="K74" s="7">
        <v>34794</v>
      </c>
      <c r="L74" s="6" t="s">
        <v>1638</v>
      </c>
      <c r="M74">
        <v>1</v>
      </c>
      <c r="N74">
        <v>8</v>
      </c>
      <c r="O74" s="6" t="s">
        <v>1638</v>
      </c>
      <c r="P74" s="6" t="s">
        <v>1638</v>
      </c>
      <c r="Q74" s="6" t="s">
        <v>1638</v>
      </c>
      <c r="R74" s="6" t="s">
        <v>1638</v>
      </c>
      <c r="S74" s="6" t="s">
        <v>1638</v>
      </c>
      <c r="T74" s="6" t="s">
        <v>1638</v>
      </c>
      <c r="U74" s="6" t="s">
        <v>1638</v>
      </c>
      <c r="V74" s="6" t="s">
        <v>1638</v>
      </c>
      <c r="W74" s="6" t="s">
        <v>1640</v>
      </c>
      <c r="X74" s="7">
        <v>45947</v>
      </c>
      <c r="Y74">
        <v>0</v>
      </c>
      <c r="Z74" s="6" t="s">
        <v>1638</v>
      </c>
      <c r="AA74">
        <v>1</v>
      </c>
    </row>
    <row r="75" spans="1:27" x14ac:dyDescent="0.25">
      <c r="A75">
        <v>2431</v>
      </c>
      <c r="B75">
        <v>1094272458</v>
      </c>
      <c r="C75">
        <v>1</v>
      </c>
      <c r="D75" s="6" t="s">
        <v>2379</v>
      </c>
      <c r="E75" s="6" t="s">
        <v>2380</v>
      </c>
      <c r="F75">
        <v>3104550094</v>
      </c>
      <c r="G75" s="6" t="s">
        <v>2381</v>
      </c>
      <c r="H75" s="6" t="s">
        <v>1638</v>
      </c>
      <c r="I75" s="6" t="s">
        <v>1638</v>
      </c>
      <c r="J75" s="6" t="s">
        <v>1638</v>
      </c>
      <c r="K75" s="7">
        <v>34283</v>
      </c>
      <c r="L75" s="6" t="s">
        <v>1638</v>
      </c>
      <c r="M75">
        <v>2</v>
      </c>
      <c r="N75">
        <v>5</v>
      </c>
      <c r="O75" s="6" t="s">
        <v>1638</v>
      </c>
      <c r="P75" s="6" t="s">
        <v>1638</v>
      </c>
      <c r="Q75" s="6" t="s">
        <v>1638</v>
      </c>
      <c r="R75" s="6" t="s">
        <v>1638</v>
      </c>
      <c r="S75" s="6" t="s">
        <v>1638</v>
      </c>
      <c r="T75" s="6" t="s">
        <v>1638</v>
      </c>
      <c r="U75" s="6" t="s">
        <v>1638</v>
      </c>
      <c r="V75" s="6" t="s">
        <v>1638</v>
      </c>
      <c r="W75" s="6" t="s">
        <v>1640</v>
      </c>
      <c r="X75" s="7">
        <v>45948</v>
      </c>
      <c r="Y75">
        <v>0</v>
      </c>
      <c r="Z75" s="6" t="s">
        <v>1638</v>
      </c>
      <c r="AA75">
        <v>18</v>
      </c>
    </row>
    <row r="76" spans="1:27" x14ac:dyDescent="0.25">
      <c r="A76">
        <v>2434</v>
      </c>
      <c r="B76">
        <v>1193213102</v>
      </c>
      <c r="C76">
        <v>1</v>
      </c>
      <c r="D76" s="6" t="s">
        <v>2382</v>
      </c>
      <c r="E76" s="6" t="s">
        <v>2383</v>
      </c>
      <c r="F76">
        <v>3184125457</v>
      </c>
      <c r="G76" s="6" t="s">
        <v>2384</v>
      </c>
      <c r="H76" s="6" t="s">
        <v>1638</v>
      </c>
      <c r="I76" s="6" t="s">
        <v>2385</v>
      </c>
      <c r="J76" s="6" t="s">
        <v>1638</v>
      </c>
      <c r="K76" s="7">
        <v>36793</v>
      </c>
      <c r="L76" s="6" t="s">
        <v>1638</v>
      </c>
      <c r="M76">
        <v>1</v>
      </c>
      <c r="N76">
        <v>10</v>
      </c>
      <c r="O76" s="6" t="s">
        <v>1638</v>
      </c>
      <c r="P76" s="6" t="s">
        <v>1638</v>
      </c>
      <c r="Q76" s="6" t="s">
        <v>1638</v>
      </c>
      <c r="R76" s="6" t="s">
        <v>1639</v>
      </c>
      <c r="S76" s="6" t="s">
        <v>2386</v>
      </c>
      <c r="T76" s="6" t="s">
        <v>1721</v>
      </c>
      <c r="U76" s="6" t="s">
        <v>2387</v>
      </c>
      <c r="V76" s="6" t="s">
        <v>1638</v>
      </c>
      <c r="W76" s="6" t="s">
        <v>35</v>
      </c>
      <c r="X76" s="7">
        <v>45948</v>
      </c>
      <c r="Y76">
        <v>0</v>
      </c>
      <c r="Z76" s="6" t="s">
        <v>1709</v>
      </c>
      <c r="AA76">
        <v>18</v>
      </c>
    </row>
    <row r="77" spans="1:27" x14ac:dyDescent="0.25">
      <c r="A77">
        <v>2433</v>
      </c>
      <c r="B77">
        <v>6454204</v>
      </c>
      <c r="C77">
        <v>6</v>
      </c>
      <c r="D77" s="6" t="s">
        <v>2388</v>
      </c>
      <c r="E77" s="6" t="s">
        <v>2389</v>
      </c>
      <c r="F77">
        <v>3143069558</v>
      </c>
      <c r="G77" s="6" t="s">
        <v>2390</v>
      </c>
      <c r="H77" s="6" t="s">
        <v>1638</v>
      </c>
      <c r="I77" s="6" t="s">
        <v>2391</v>
      </c>
      <c r="J77" s="6" t="s">
        <v>1638</v>
      </c>
      <c r="K77" s="7">
        <v>38967</v>
      </c>
      <c r="L77" s="6" t="s">
        <v>1638</v>
      </c>
      <c r="M77">
        <v>1</v>
      </c>
      <c r="N77">
        <v>3</v>
      </c>
      <c r="O77" s="6" t="s">
        <v>1638</v>
      </c>
      <c r="P77" s="6" t="s">
        <v>1638</v>
      </c>
      <c r="Q77" s="6" t="s">
        <v>1638</v>
      </c>
      <c r="R77" s="6" t="s">
        <v>1663</v>
      </c>
      <c r="S77" s="6" t="s">
        <v>2392</v>
      </c>
      <c r="T77" s="6" t="s">
        <v>1721</v>
      </c>
      <c r="U77" s="6" t="s">
        <v>2393</v>
      </c>
      <c r="V77" s="6" t="s">
        <v>1638</v>
      </c>
      <c r="W77" s="6" t="s">
        <v>35</v>
      </c>
      <c r="X77" s="7">
        <v>45948</v>
      </c>
      <c r="Y77">
        <v>0</v>
      </c>
      <c r="Z77" s="6" t="s">
        <v>1709</v>
      </c>
      <c r="AA77">
        <v>18</v>
      </c>
    </row>
    <row r="78" spans="1:27" x14ac:dyDescent="0.25">
      <c r="A78">
        <v>2439</v>
      </c>
      <c r="B78">
        <v>1098072971</v>
      </c>
      <c r="C78">
        <v>1</v>
      </c>
      <c r="D78" s="6" t="s">
        <v>2398</v>
      </c>
      <c r="E78" s="6" t="s">
        <v>2399</v>
      </c>
      <c r="F78">
        <v>3053028644</v>
      </c>
      <c r="G78" s="6" t="s">
        <v>2400</v>
      </c>
      <c r="H78" s="6" t="s">
        <v>1638</v>
      </c>
      <c r="I78" s="6" t="s">
        <v>2401</v>
      </c>
      <c r="J78" s="6" t="s">
        <v>1638</v>
      </c>
      <c r="K78" s="7">
        <v>39273</v>
      </c>
      <c r="L78" s="6" t="s">
        <v>1638</v>
      </c>
      <c r="M78">
        <v>2</v>
      </c>
      <c r="N78">
        <v>5</v>
      </c>
      <c r="O78" s="6" t="s">
        <v>1638</v>
      </c>
      <c r="P78" s="6" t="s">
        <v>1638</v>
      </c>
      <c r="Q78" s="6" t="s">
        <v>1638</v>
      </c>
      <c r="R78" s="6" t="s">
        <v>1663</v>
      </c>
      <c r="S78" s="6" t="s">
        <v>2402</v>
      </c>
      <c r="T78" s="6" t="s">
        <v>1721</v>
      </c>
      <c r="U78" s="6" t="s">
        <v>2403</v>
      </c>
      <c r="V78" s="6" t="s">
        <v>1638</v>
      </c>
      <c r="W78" s="6" t="s">
        <v>35</v>
      </c>
      <c r="X78" s="7">
        <v>45950</v>
      </c>
      <c r="Y78">
        <v>0</v>
      </c>
      <c r="Z78" s="6" t="s">
        <v>1709</v>
      </c>
      <c r="AA78">
        <v>1</v>
      </c>
    </row>
    <row r="79" spans="1:27" x14ac:dyDescent="0.25">
      <c r="A79">
        <v>2440</v>
      </c>
      <c r="B79">
        <v>1005290616</v>
      </c>
      <c r="C79">
        <v>1</v>
      </c>
      <c r="D79" s="6" t="s">
        <v>2229</v>
      </c>
      <c r="E79" s="6" t="s">
        <v>2404</v>
      </c>
      <c r="F79">
        <v>304117355</v>
      </c>
      <c r="G79" s="6" t="s">
        <v>727</v>
      </c>
      <c r="H79" s="6" t="s">
        <v>1638</v>
      </c>
      <c r="I79" s="6" t="s">
        <v>2405</v>
      </c>
      <c r="J79" s="6" t="s">
        <v>1638</v>
      </c>
      <c r="K79" s="7">
        <v>36997</v>
      </c>
      <c r="L79" s="6" t="s">
        <v>1638</v>
      </c>
      <c r="M79">
        <v>1</v>
      </c>
      <c r="N79">
        <v>10</v>
      </c>
      <c r="O79" s="6" t="s">
        <v>1638</v>
      </c>
      <c r="P79" s="6" t="s">
        <v>1638</v>
      </c>
      <c r="Q79" s="6" t="s">
        <v>1638</v>
      </c>
      <c r="R79" s="6" t="s">
        <v>2406</v>
      </c>
      <c r="S79" s="6" t="s">
        <v>2407</v>
      </c>
      <c r="T79" s="6" t="s">
        <v>1721</v>
      </c>
      <c r="U79" s="6" t="s">
        <v>2408</v>
      </c>
      <c r="V79" s="6" t="s">
        <v>1638</v>
      </c>
      <c r="W79" s="6" t="s">
        <v>35</v>
      </c>
      <c r="X79" s="7">
        <v>45950</v>
      </c>
      <c r="Y79">
        <v>0</v>
      </c>
      <c r="Z79" s="6" t="s">
        <v>1709</v>
      </c>
      <c r="AA79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DA9730-2C2B-4DB5-A99D-0B877CCAF6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BD_Clez_Premigracion</vt:lpstr>
      <vt:lpstr>MigradosEfectivamente</vt:lpstr>
      <vt:lpstr>AfiliadosRecurrentesNuevos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Morales</cp:lastModifiedBy>
  <dcterms:created xsi:type="dcterms:W3CDTF">2025-10-20T13:54:45Z</dcterms:created>
  <dcterms:modified xsi:type="dcterms:W3CDTF">2025-10-20T15:27:35Z</dcterms:modified>
</cp:coreProperties>
</file>